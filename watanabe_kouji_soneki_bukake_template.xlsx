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02e26daeb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事別損益" sheetId="1" r:id="R12656b2a7a344c4d"/>
    <x:sheet xmlns:r="http://schemas.openxmlformats.org/officeDocument/2006/relationships" name="労務費計算" sheetId="2" r:id="R09b31f2b43ff420c"/>
    <x:sheet xmlns:r="http://schemas.openxmlformats.org/officeDocument/2006/relationships" name="月次サマリー" sheetId="3" r:id="Rc3b4e8e6cf824ba0"/>
    <x:sheet xmlns:r="http://schemas.openxmlformats.org/officeDocument/2006/relationships" name="記入ガイド" sheetId="4" r:id="Re75d5d90711e4b01"/>
    <x:sheet xmlns:r="http://schemas.openxmlformats.org/officeDocument/2006/relationships" name="歩掛テーブル" sheetId="5" r:id="R426632457f2242bc"/>
  </x:sheets>
  <x:definedNames>
    <x:definedName name="_xlnm.Print_Area" localSheetId="0">'工事別損益'!$A$1:$N$37</x:definedName>
    <x:definedName name="_xlnm._FilterDatabase" localSheetId="4" hidden="1">'歩掛テーブル'!$A$6:$M$27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#,##0.0"/>
  </x:numFmts>
  <x:fonts count="16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E293B"/>
      <x:name val="Noto Sans CJK SC"/>
      <x:family val="2"/>
    </x:font>
    <x:font>
      <x:sz val="10"/>
      <x:color rgb="FF6B7280"/>
      <x:name val="Noto Sans CJK SC"/>
      <x:family val="2"/>
    </x:font>
    <x:font>
      <x:sz val="11"/>
      <x:color rgb="FF000000"/>
      <x:name val="Meiryo UI"/>
    </x:font>
    <x:font>
      <x:b/>
      <x:sz val="11"/>
      <x:color rgb="FF000000"/>
      <x:name val="Noto Sans CJK SC"/>
      <x:family val="2"/>
    </x:font>
    <x:font>
      <x:sz val="11"/>
      <x:color rgb="FF0000FF"/>
      <x:name val="Meiryo UI"/>
    </x:font>
    <x:font>
      <x:b/>
      <x:sz val="11"/>
      <x:color rgb="FFFFFFFF"/>
      <x:name val="Meiryo UI"/>
    </x:font>
    <x:font>
      <x:b/>
      <x:sz val="11"/>
      <x:color rgb="FFFFFFFF"/>
      <x:name val="Noto Sans CJK SC"/>
      <x:family val="2"/>
    </x:font>
    <x:font>
      <x:sz val="9"/>
      <x:color rgb="FF6B7280"/>
      <x:name val="Meiryo UI"/>
    </x:font>
    <x:font>
      <x:sz val="9"/>
      <x:color rgb="FF6B7280"/>
      <x:name val="Noto Sans CJK SC"/>
      <x:family val="2"/>
    </x:font>
    <x:font>
      <x:b/>
      <x:sz val="11"/>
      <x:color rgb="FF000000"/>
      <x:name val="Meiryo UI"/>
    </x:font>
    <x:font>
      <x:b/>
      <x:sz val="11"/>
      <x:color rgb="FF0000FF"/>
      <x:name val="Meiryo UI"/>
    </x:font>
    <x:font>
      <x:sz val="11"/>
      <x:color rgb="FF000000"/>
      <x:name val="Noto Sans CJK SC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</x:fills>
  <x:borders count="6">
    <x:border>
      <x:left/>
      <x:right/>
      <x:top/>
      <x:bottom/>
      <x:diagonal/>
    </x:border>
    <x:border>
      <x:left style="thin">
        <x:color rgb="FFD4D8DD"/>
      </x:left>
      <x:right style="thin">
        <x:color rgb="FFD4D8DD"/>
      </x:right>
      <x:top style="thin">
        <x:color rgb="FFD4D8DD"/>
      </x:top>
      <x:bottom style="thin">
        <x:color rgb="FFD4D8DD"/>
      </x:bottom>
      <x:diagonal/>
    </x:border>
    <x:border>
      <x:left/>
      <x:right/>
      <x:top style="thin">
        <x:color rgb="FFD4D8DD"/>
      </x:top>
      <x:bottom/>
      <x:diagonal/>
    </x:border>
    <x:border>
      <x:left/>
      <x:right style="thin">
        <x:color rgb="FFD4D8DD"/>
      </x:right>
      <x:top style="thin">
        <x:color rgb="FFD4D8DD"/>
      </x:top>
      <x:bottom/>
      <x:diagonal/>
    </x:border>
    <x:border>
      <x:left/>
      <x:right/>
      <x:top style="thin">
        <x:color rgb="FFD4D8DD"/>
      </x:top>
      <x:bottom style="thin">
        <x:color rgb="FFD4D8DD"/>
      </x:bottom>
      <x:diagonal/>
    </x:border>
    <x:border>
      <x:left/>
      <x:right style="thin">
        <x:color rgb="FFD4D8DD"/>
      </x:right>
      <x:top style="thin">
        <x:color rgb="FFD4D8DD"/>
      </x:top>
      <x:bottom style="thin">
        <x:color rgb="FFD4D8DD"/>
      </x:bottom>
      <x:diagonal/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87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general" vertical="bottom"/>
    </x:xf>
    <x:xf numFmtId="0" fontId="9" fillId="3" borderId="1" xfId="0" applyAlignment="1">
      <x:alignment horizontal="center" vertical="center" wrapText="1"/>
    </x:xf>
    <x:xf numFmtId="0" fontId="10" fillId="3" borderId="1" xfId="0" applyAlignment="1">
      <x:alignment horizontal="center" vertical="center" wrapText="1"/>
    </x:xf>
    <x:xf numFmtId="0" fontId="11" fillId="4" borderId="1" xfId="0" applyAlignment="1">
      <x:alignment horizontal="center" vertical="center" wrapText="1"/>
    </x:xf>
    <x:xf numFmtId="0" fontId="12" fillId="4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8" fillId="5" borderId="1" xfId="0" applyAlignment="1">
      <x:alignment horizontal="left" vertical="center" wrapText="1"/>
    </x:xf>
    <x:xf numFmtId="0" fontId="8" fillId="5" borderId="1" xfId="0" applyAlignment="1">
      <x:alignment horizontal="center" vertical="center" wrapText="1"/>
    </x:xf>
    <x:xf numFmtId="3" fontId="8" fillId="5" borderId="1" xfId="0" applyAlignment="1">
      <x:alignment horizontal="right" vertical="center"/>
    </x:xf>
    <x:xf numFmtId="3" fontId="6" fillId="6" borderId="1" xfId="0" applyAlignment="1">
      <x:alignment horizontal="right" vertical="center"/>
    </x:xf>
    <x:xf numFmtId="164" fontId="6" fillId="6" borderId="1" xfId="0" applyAlignment="1">
      <x:alignment horizontal="center" vertical="center" wrapText="1"/>
    </x:xf>
    <x:xf numFmtId="0" fontId="13" fillId="3" borderId="1" xfId="0" applyAlignment="1">
      <x:alignment horizontal="center" vertical="center" wrapText="1"/>
    </x:xf>
    <x:xf numFmtId="3" fontId="9" fillId="3" borderId="1" xfId="0" applyAlignment="1">
      <x:alignment horizontal="right" vertical="center"/>
    </x:xf>
    <x:xf numFmtId="164" fontId="9" fillId="3" borderId="1" xfId="0" applyAlignment="1">
      <x:alignment horizontal="center" vertical="center" wrapText="1"/>
    </x:xf>
    <x:xf numFmtId="0" fontId="6" fillId="3" borderId="1" xfId="0" applyAlignment="1">
      <x:alignment horizontal="left" vertical="center" wrapText="1"/>
    </x:xf>
    <x:xf numFmtId="0" fontId="12" fillId="0" borderId="0" xfId="0" applyAlignment="1">
      <x:alignment horizontal="general" vertical="bottom"/>
    </x:xf>
    <x:xf numFmtId="3" fontId="14" fillId="2" borderId="1" xfId="0" applyAlignment="1">
      <x:alignment horizontal="right" vertical="center"/>
    </x:xf>
    <x:xf numFmtId="0" fontId="11" fillId="0" borderId="0" xfId="0" applyAlignment="1">
      <x:alignment horizontal="general" vertical="bottom"/>
    </x:xf>
    <x:xf numFmtId="0" fontId="12" fillId="0" borderId="0" xfId="0" applyAlignment="1">
      <x:alignment horizontal="general" vertical="bottom"/>
    </x:xf>
    <x:xf numFmtId="165" fontId="8" fillId="5" borderId="1" xfId="0" applyAlignment="1">
      <x:alignment horizontal="center" vertical="center" wrapText="1"/>
    </x:xf>
    <x:xf numFmtId="3" fontId="13" fillId="7" borderId="1" xfId="0" applyAlignment="1">
      <x:alignment horizontal="right" vertical="center"/>
    </x:xf>
    <x:xf numFmtId="0" fontId="8" fillId="6" borderId="1" xfId="0" applyAlignment="1">
      <x:alignment horizontal="left" vertical="center" wrapText="1"/>
    </x:xf>
    <x:xf numFmtId="0" fontId="6" fillId="6" borderId="1" xfId="0" applyAlignment="1">
      <x:alignment horizontal="right" vertical="center"/>
    </x:xf>
    <x:xf numFmtId="0" fontId="15" fillId="0" borderId="1" xfId="0" applyAlignment="1">
      <x:alignment horizontal="left" vertical="center" wrapText="1"/>
    </x:xf>
    <x:xf numFmtId="3" fontId="8" fillId="2" borderId="1" xfId="0" applyAlignment="1">
      <x:alignment horizontal="right" vertical="center"/>
    </x:xf>
    <x:xf numFmtId="0" fontId="7" fillId="4" borderId="1" xfId="0" applyAlignment="1">
      <x:alignment horizontal="left" vertical="center" wrapText="1"/>
    </x:xf>
    <x:xf numFmtId="3" fontId="13" fillId="4" borderId="1" xfId="0" applyAlignment="1">
      <x:alignment horizontal="right" vertical="center"/>
    </x:xf>
    <x:xf numFmtId="0" fontId="13" fillId="0" borderId="1" xfId="0" applyAlignment="1">
      <x:alignment horizontal="center" vertical="center" wrapText="1"/>
    </x:xf>
    <x:xf numFmtId="0" fontId="7" fillId="0" borderId="1" xfId="0" applyAlignment="1">
      <x:alignment horizontal="left" vertical="center" wrapText="1"/>
    </x:xf>
    <x:xf numFmtId="0" fontId="12" fillId="0" borderId="1" xfId="0" applyAlignment="1">
      <x:alignment horizontal="left" vertical="center" wrapText="1"/>
    </x:xf>
    <x:xf numFmtId="0" fontId="11" fillId="0" borderId="1" xfId="0" applyAlignment="1">
      <x:alignment horizontal="left" vertical="center" wrapText="1"/>
    </x:xf>
    <x:xf numFmtId="0" fontId="6" fillId="0" borderId="1" xfId="0" applyAlignment="1">
      <x:alignment horizontal="left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left" vertical="center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general" vertical="bottom"/>
    </x:xf>
    <x:xf numFmtId="0" fontId="9" fillId="3" borderId="1" xfId="0" applyAlignment="1">
      <x:alignment horizontal="center" vertical="center" wrapText="1"/>
    </x:xf>
    <x:xf numFmtId="0" fontId="10" fillId="3" borderId="1" xfId="0" applyAlignment="1">
      <x:alignment horizontal="center" vertical="center" wrapText="1"/>
    </x:xf>
    <x:xf numFmtId="0" fontId="11" fillId="4" borderId="1" xfId="0" applyAlignment="1">
      <x:alignment horizontal="center" vertical="center" wrapText="1"/>
    </x:xf>
    <x:xf numFmtId="0" fontId="12" fillId="4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8" fillId="5" borderId="1" xfId="0" applyAlignment="1">
      <x:alignment horizontal="left" vertical="center" wrapText="1"/>
    </x:xf>
    <x:xf numFmtId="0" fontId="8" fillId="5" borderId="1" xfId="0" applyAlignment="1">
      <x:alignment horizontal="center" vertical="center" wrapText="1"/>
    </x:xf>
    <x:xf numFmtId="3" fontId="8" fillId="5" borderId="1" xfId="0" applyAlignment="1">
      <x:alignment horizontal="right" vertical="center"/>
    </x:xf>
    <x:xf numFmtId="3" fontId="6" fillId="6" borderId="1" xfId="0" applyAlignment="1">
      <x:alignment horizontal="right" vertical="center"/>
    </x:xf>
    <x:xf numFmtId="164" fontId="6" fillId="6" borderId="1" xfId="0" applyAlignment="1">
      <x:alignment horizontal="center" vertical="center" wrapText="1"/>
    </x:xf>
    <x:xf numFmtId="0" fontId="13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3" fontId="9" fillId="3" borderId="1" xfId="0" applyAlignment="1">
      <x:alignment horizontal="right" vertical="center"/>
    </x:xf>
    <x:xf numFmtId="164" fontId="9" fillId="3" borderId="1" xfId="0" applyAlignment="1">
      <x:alignment horizontal="center" vertical="center" wrapText="1"/>
    </x:xf>
    <x:xf numFmtId="0" fontId="6" fillId="3" borderId="1" xfId="0" applyAlignment="1">
      <x:alignment horizontal="left" vertical="center" wrapText="1"/>
    </x:xf>
    <x:xf numFmtId="0" fontId="12" fillId="0" borderId="0" xfId="0" applyAlignment="1">
      <x:alignment horizontal="general" vertical="bottom"/>
    </x:xf>
    <x:xf numFmtId="3" fontId="14" fillId="2" borderId="1" xfId="0" applyAlignment="1">
      <x:alignment horizontal="right" vertical="center"/>
    </x:xf>
    <x:xf numFmtId="0" fontId="11" fillId="0" borderId="0" xfId="0" applyAlignment="1">
      <x:alignment horizontal="general" vertical="bottom"/>
    </x:xf>
    <x:xf numFmtId="165" fontId="8" fillId="5" borderId="1" xfId="0" applyAlignment="1">
      <x:alignment horizontal="center" vertical="center" wrapText="1"/>
    </x:xf>
    <x:xf numFmtId="3" fontId="13" fillId="7" borderId="1" xfId="0" applyAlignment="1">
      <x:alignment horizontal="right" vertical="center"/>
    </x:xf>
    <x:xf numFmtId="0" fontId="8" fillId="6" borderId="1" xfId="0" applyAlignment="1">
      <x:alignment horizontal="left" vertical="center" wrapText="1"/>
    </x:xf>
    <x:xf numFmtId="0" fontId="6" fillId="6" borderId="1" xfId="0" applyAlignment="1">
      <x:alignment horizontal="right" vertical="center"/>
    </x:xf>
    <x:xf numFmtId="0" fontId="15" fillId="0" borderId="1" xfId="0" applyAlignment="1">
      <x:alignment horizontal="left" vertical="center" wrapText="1"/>
    </x:xf>
    <x:xf numFmtId="3" fontId="8" fillId="2" borderId="1" xfId="0" applyAlignment="1">
      <x:alignment horizontal="right" vertical="center"/>
    </x:xf>
    <x:xf numFmtId="0" fontId="7" fillId="4" borderId="1" xfId="0" applyAlignment="1">
      <x:alignment horizontal="left" vertical="center" wrapText="1"/>
    </x:xf>
    <x:xf numFmtId="3" fontId="13" fillId="4" borderId="1" xfId="0" applyAlignment="1">
      <x:alignment horizontal="right" vertical="center"/>
    </x:xf>
    <x:xf numFmtId="0" fontId="13" fillId="0" borderId="1" xfId="0" applyAlignment="1">
      <x:alignment horizontal="center" vertical="center" wrapText="1"/>
    </x:xf>
    <x:xf numFmtId="0" fontId="7" fillId="0" borderId="1" xfId="0" applyAlignment="1">
      <x:alignment horizontal="left" vertical="center" wrapText="1"/>
    </x:xf>
    <x:xf numFmtId="0" fontId="12" fillId="0" borderId="1" xfId="0" applyAlignment="1">
      <x:alignment horizontal="left" vertical="center" wrapText="1"/>
    </x:xf>
    <x:xf numFmtId="0" fontId="11" fillId="0" borderId="1" xfId="0" applyAlignment="1">
      <x:alignment horizontal="left" vertical="center" wrapText="1"/>
    </x:xf>
    <x:xf numFmtId="0" fontId="6" fillId="0" borderId="1" xfId="0" applyAlignment="1">
      <x:alignment horizontal="left" vertical="center" wrapText="1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general" vertical="bottom"/>
    </x:xf>
    <x:xf numFmtId="0" fontId="10" fillId="3" borderId="1" xfId="0" applyAlignment="1">
      <x:alignment horizontal="center" vertical="center" wrapText="1"/>
    </x:xf>
    <x:xf numFmtId="3" fontId="8" fillId="5" borderId="1" xfId="0" applyAlignment="1">
      <x:alignment horizontal="right" vertical="center"/>
    </x:xf>
    <x:xf numFmtId="0" fontId="12" fillId="4" borderId="1" xfId="0" applyAlignment="1">
      <x:alignment horizontal="center" vertical="center" wrapText="1"/>
    </x:xf>
    <x:xf numFmtId="1" fontId="8" fillId="5" borderId="1" xfId="0" applyAlignment="1">
      <x:alignment horizontal="center" vertical="center" wrapText="1"/>
    </x:xf>
    <x:xf numFmtId="0" fontId="8" fillId="5" borderId="1" xfId="0" applyAlignment="1">
      <x:alignment horizontal="left" vertical="center" wrapText="1"/>
    </x:xf>
    <x:xf numFmtId="0" fontId="8" fillId="5" borderId="1" xfId="0" applyAlignment="1">
      <x:alignment horizontal="center" vertical="center" wrapText="1"/>
    </x:xf>
    <x:xf numFmtId="2" fontId="8" fillId="5" borderId="1" xfId="0" applyAlignment="1">
      <x:alignment horizontal="right" vertical="center"/>
    </x:xf>
    <x:xf numFmtId="2" fontId="6" fillId="6" borderId="1" xfId="0" applyAlignment="1">
      <x:alignment horizontal="right" vertical="center"/>
    </x:xf>
    <x:xf numFmtId="3" fontId="6" fillId="6" borderId="1" xfId="0" applyAlignment="1">
      <x:alignment horizontal="right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2"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</x:dxfs>
  <x:colors>
    <x:indexedColors>
      <x:rgbColor rgb="FF000000"/>
      <x:rgbColor rgb="FFFFFFFF"/>
      <x:rgbColor rgb="FFDC2626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EF3C7"/>
      <x:rgbColor rgb="FFDCFCE7"/>
      <x:rgbColor rgb="FF660066"/>
      <x:rgbColor rgb="FFFF8080"/>
      <x:rgbColor rgb="FF0066CC"/>
      <x:rgbColor rgb="FFD4D8DD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BEAFE"/>
      <x:rgbColor rgb="FFF8FAFC"/>
      <x:rgbColor rgb="FFFFFF99"/>
      <x:rgbColor rgb="FF99CCFF"/>
      <x:rgbColor rgb="FFFF99CC"/>
      <x:rgbColor rgb="FFCC99FF"/>
      <x:rgbColor rgb="FFFEE2E2"/>
      <x:rgbColor rgb="FF2563EB"/>
      <x:rgbColor rgb="FF33CCCC"/>
      <x:rgbColor rgb="FF99CC00"/>
      <x:rgbColor rgb="FFFFCC00"/>
      <x:rgbColor rgb="FFFF9900"/>
      <x:rgbColor rgb="FFD97706"/>
      <x:rgbColor rgb="FF6B7280"/>
      <x:rgbColor rgb="FF969696"/>
      <x:rgbColor rgb="FF003366"/>
      <x:rgbColor rgb="FF16A34A"/>
      <x:rgbColor rgb="FF003300"/>
      <x:rgbColor rgb="FF333300"/>
      <x:rgbColor rgb="FF993300"/>
      <x:rgbColor rgb="FF993366"/>
      <x:rgbColor rgb="FF333399"/>
      <x:rgbColor rgb="FF1E293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001b984014114" /><Relationship Type="http://schemas.openxmlformats.org/officeDocument/2006/relationships/theme" Target="/xl/theme/theme1.xml" Id="Re2be15ed93ed4c84" /><Relationship Type="http://schemas.openxmlformats.org/officeDocument/2006/relationships/sharedStrings" Target="/xl/sharedStrings.xml" Id="Rb2a54c3a22914b28" /><Relationship Type="http://schemas.openxmlformats.org/officeDocument/2006/relationships/worksheet" Target="/xl/worksheets/sheet1.xml" Id="R12656b2a7a344c4d" /><Relationship Type="http://schemas.openxmlformats.org/officeDocument/2006/relationships/worksheet" Target="/xl/worksheets/sheet2.xml" Id="R09b31f2b43ff420c" /><Relationship Type="http://schemas.openxmlformats.org/officeDocument/2006/relationships/worksheet" Target="/xl/worksheets/sheet3.xml" Id="Rc3b4e8e6cf824ba0" /><Relationship Type="http://schemas.openxmlformats.org/officeDocument/2006/relationships/worksheet" Target="/xl/worksheets/sheet4.xml" Id="Re75d5d90711e4b01" /><Relationship Type="http://schemas.openxmlformats.org/officeDocument/2006/relationships/worksheet" Target="/xl/worksheets/sheet5.xml" Id="R426632457f2242bc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1" workbookViewId="0"/>
  </x:sheetViews>
  <x:sheetFormatPr baseColWidth="8" defaultColWidth="8.6796875" defaultRowHeight="15"/>
  <x:cols>
    <x:col min="1" max="1" width="4" style="37" customWidth="1"/>
    <x:col min="2" max="2" width="14" style="37" customWidth="1"/>
    <x:col min="3" max="3" width="30" style="37" customWidth="1"/>
    <x:col min="4" max="13" width="14" style="37" customWidth="1"/>
    <x:col min="14" max="14" width="16" style="37" customWidth="1"/>
    <x:col min="15" max="15" width="10" style="37" customWidth="1"/>
  </x:cols>
  <x:sheetData>
    <x:row r="1" s="38" customFormat="1" ht="36" customHeight="1">
      <x:c r="A1" s="76" t="inlineStr">
        <x:is>
          <x:t xml:space="preserve">工事別損益管理表</x:t>
        </x:is>
      </x:c>
    </x:row>
    <x:row r="2" s="38" customFormat="1" ht="19.5" customHeight="1">
      <x:c r="A2" s="77" t="inlineStr">
        <x:is>
          <x:t xml:space="preserve">青字のセルに入力してください。黒字のセルは自動計算されます。</x:t>
        </x:is>
      </x:c>
    </x:row>
    <x:row r="3" s="38" customFormat="1" ht="15" customHeight="1">
      <x:c r="A3" s="41" t="n"/>
      <x:c r="B3" s="42" t="inlineStr">
        <x:is>
          <x:t xml:space="preserve">対象期間</x:t>
        </x:is>
      </x:c>
      <x:c r="C3" s="43" t="n"/>
    </x:row>
    <x:row r="4" s="38" customFormat="1" ht="7.5" customHeight="1"/>
    <x:row r="5" s="38" customFormat="1" ht="30" customHeight="1">
      <x:c r="A5" s="44" t="inlineStr">
        <x:is>
          <x:t xml:space="preserve">No.</x:t>
        </x:is>
      </x:c>
      <x:c r="B5" s="78" t="inlineStr">
        <x:is>
          <x:t xml:space="preserve">工事名</x:t>
        </x:is>
      </x:c>
      <x:c r="C5" s="78" t="inlineStr">
        <x:is>
          <x:t xml:space="preserve">取引先（元請）</x:t>
        </x:is>
      </x:c>
      <x:c r="D5" s="78" t="inlineStr">
        <x:is>
          <x:t xml:space="preserve">工事種別</x:t>
        </x:is>
      </x:c>
      <x:c r="E5" s="78" t="inlineStr">
        <x:is>
          <x:t xml:space="preserve">請負金額</x:t>
        </x:is>
      </x:c>
      <x:c r="F5" s="78" t="inlineStr">
        <x:is>
          <x:t xml:space="preserve">材料費</x:t>
        </x:is>
      </x:c>
      <x:c r="G5" s="78" t="inlineStr">
        <x:is>
          <x:t xml:space="preserve">労務費</x:t>
        </x:is>
      </x:c>
      <x:c r="H5" s="78" t="inlineStr">
        <x:is>
          <x:t xml:space="preserve">外注費</x:t>
        </x:is>
      </x:c>
      <x:c r="I5" s="78" t="inlineStr">
        <x:is>
          <x:t xml:space="preserve">交通費</x:t>
        </x:is>
      </x:c>
      <x:c r="J5" s="78" t="inlineStr">
        <x:is>
          <x:t xml:space="preserve">諸経費</x:t>
        </x:is>
      </x:c>
      <x:c r="K5" s="78" t="inlineStr">
        <x:is>
          <x:t xml:space="preserve">原価合計</x:t>
        </x:is>
      </x:c>
      <x:c r="L5" s="78" t="inlineStr">
        <x:is>
          <x:t xml:space="preserve">粗利益</x:t>
        </x:is>
      </x:c>
      <x:c r="M5" s="78" t="inlineStr">
        <x:is>
          <x:t xml:space="preserve">粗利率</x:t>
        </x:is>
      </x:c>
      <x:c r="N5" s="78" t="inlineStr">
        <x:is>
          <x:t xml:space="preserve">備考</x:t>
        </x:is>
      </x:c>
    </x:row>
    <x:row r="6" s="38" customFormat="1" ht="19.5" customHeight="1">
      <x:c r="A6" s="46" t="n"/>
      <x:c r="B6" s="80" t="inlineStr">
        <x:is>
          <x:t xml:space="preserve">現場名等</x:t>
        </x:is>
      </x:c>
      <x:c r="C6" s="80" t="inlineStr">
        <x:is>
          <x:t xml:space="preserve">サブコン名</x:t>
        </x:is>
      </x:c>
      <x:c r="D6" s="80" t="inlineStr">
        <x:is>
          <x:t xml:space="preserve">新築/改修</x:t>
        </x:is>
      </x:c>
      <x:c r="E6" s="80" t="inlineStr">
        <x:is>
          <x:t xml:space="preserve">税抜</x:t>
        </x:is>
      </x:c>
      <x:c r="F6" s="80" t="inlineStr">
        <x:is>
          <x:t xml:space="preserve">税抜</x:t>
        </x:is>
      </x:c>
      <x:c r="G6" s="80" t="inlineStr">
        <x:is>
          <x:t xml:space="preserve">日当×人日</x:t>
        </x:is>
      </x:c>
      <x:c r="H6" s="80" t="inlineStr">
        <x:is>
          <x:t xml:space="preserve">税抜</x:t>
        </x:is>
      </x:c>
      <x:c r="I6" s="80" t="inlineStr">
        <x:is>
          <x:t xml:space="preserve">実費</x:t>
        </x:is>
      </x:c>
      <x:c r="J6" s="80" t="inlineStr">
        <x:is>
          <x:t xml:space="preserve">消耗品等</x:t>
        </x:is>
      </x:c>
      <x:c r="K6" s="80" t="inlineStr">
        <x:is>
          <x:t xml:space="preserve">自動計算</x:t>
        </x:is>
      </x:c>
      <x:c r="L6" s="80" t="inlineStr">
        <x:is>
          <x:t xml:space="preserve">自動計算</x:t>
        </x:is>
      </x:c>
      <x:c r="M6" s="80" t="inlineStr">
        <x:is>
          <x:t xml:space="preserve">自動計算</x:t>
        </x:is>
      </x:c>
      <x:c r="N6" s="46" t="n"/>
    </x:row>
    <x:row r="7" s="38" customFormat="1" ht="15" customHeight="1">
      <x:c r="A7" s="48" t="n">
        <x:v>1</x:v>
      </x:c>
      <x:c r="B7" s="82" t="n"/>
      <x:c r="C7" s="82" t="n"/>
      <x:c r="D7" s="83" t="n"/>
      <x:c r="E7" s="79" t="n"/>
      <x:c r="F7" s="79" t="n"/>
      <x:c r="G7" s="79" t="n"/>
      <x:c r="H7" s="79" t="n"/>
      <x:c r="I7" s="79" t="n"/>
      <x:c r="J7" s="79" t="n"/>
      <x:c r="K7" s="86">
        <x:f>SUM(F7:J7)</x:f>
        <x:v>0</x:v>
      </x:c>
      <x:c r="L7" s="86">
        <x:f>E7-K7</x:f>
        <x:v>0</x:v>
      </x:c>
      <x:c r="M7" s="53">
        <x:f>IF(E7&gt;0,L7/E7,"")</x:f>
      </x:c>
      <x:c r="N7" s="82" t="n"/>
    </x:row>
    <x:row r="8" s="38" customFormat="1" ht="15" customHeight="1">
      <x:c r="A8" s="48" t="n">
        <x:v>2</x:v>
      </x:c>
      <x:c r="B8" s="82" t="n"/>
      <x:c r="C8" s="82" t="n"/>
      <x:c r="D8" s="83" t="n"/>
      <x:c r="E8" s="79" t="n"/>
      <x:c r="F8" s="79" t="n"/>
      <x:c r="G8" s="79" t="n"/>
      <x:c r="H8" s="79" t="n"/>
      <x:c r="I8" s="79" t="n"/>
      <x:c r="J8" s="79" t="n"/>
      <x:c r="K8" s="86">
        <x:f>SUM(F8:J8)</x:f>
        <x:v>0</x:v>
      </x:c>
      <x:c r="L8" s="86">
        <x:f>E8-K8</x:f>
        <x:v>0</x:v>
      </x:c>
      <x:c r="M8" s="53">
        <x:f>IF(E8&gt;0,L8/E8,"")</x:f>
      </x:c>
      <x:c r="N8" s="82" t="n"/>
    </x:row>
    <x:row r="9" s="38" customFormat="1" ht="15" customHeight="1">
      <x:c r="A9" s="48" t="n">
        <x:v>3</x:v>
      </x:c>
      <x:c r="B9" s="82" t="n"/>
      <x:c r="C9" s="82" t="n"/>
      <x:c r="D9" s="83" t="n"/>
      <x:c r="E9" s="79" t="n"/>
      <x:c r="F9" s="79" t="n"/>
      <x:c r="G9" s="79" t="n"/>
      <x:c r="H9" s="79" t="n"/>
      <x:c r="I9" s="79" t="n"/>
      <x:c r="J9" s="79" t="n"/>
      <x:c r="K9" s="86">
        <x:f>SUM(F9:J9)</x:f>
        <x:v>0</x:v>
      </x:c>
      <x:c r="L9" s="86">
        <x:f>E9-K9</x:f>
        <x:v>0</x:v>
      </x:c>
      <x:c r="M9" s="53">
        <x:f>IF(E9&gt;0,L9/E9,"")</x:f>
      </x:c>
      <x:c r="N9" s="82" t="n"/>
    </x:row>
    <x:row r="10" s="38" customFormat="1" ht="15" customHeight="1">
      <x:c r="A10" s="48" t="n">
        <x:v>4</x:v>
      </x:c>
      <x:c r="B10" s="82" t="n"/>
      <x:c r="C10" s="82" t="n"/>
      <x:c r="D10" s="83" t="n"/>
      <x:c r="E10" s="79" t="n"/>
      <x:c r="F10" s="79" t="n"/>
      <x:c r="G10" s="79" t="n"/>
      <x:c r="H10" s="79" t="n"/>
      <x:c r="I10" s="79" t="n"/>
      <x:c r="J10" s="79" t="n"/>
      <x:c r="K10" s="86">
        <x:f>SUM(F10:J10)</x:f>
        <x:v>0</x:v>
      </x:c>
      <x:c r="L10" s="86">
        <x:f>E10-K10</x:f>
        <x:v>0</x:v>
      </x:c>
      <x:c r="M10" s="53">
        <x:f>IF(E10&gt;0,L10/E10,"")</x:f>
      </x:c>
      <x:c r="N10" s="82" t="n"/>
    </x:row>
    <x:row r="11" s="38" customFormat="1" ht="15" customHeight="1">
      <x:c r="A11" s="48" t="n">
        <x:v>5</x:v>
      </x:c>
      <x:c r="B11" s="82" t="n"/>
      <x:c r="C11" s="82" t="n"/>
      <x:c r="D11" s="83" t="n"/>
      <x:c r="E11" s="79" t="n"/>
      <x:c r="F11" s="79" t="n"/>
      <x:c r="G11" s="79" t="n"/>
      <x:c r="H11" s="79" t="n"/>
      <x:c r="I11" s="79" t="n"/>
      <x:c r="J11" s="79" t="n"/>
      <x:c r="K11" s="86">
        <x:f>SUM(F11:J11)</x:f>
        <x:v>0</x:v>
      </x:c>
      <x:c r="L11" s="86">
        <x:f>E11-K11</x:f>
        <x:v>0</x:v>
      </x:c>
      <x:c r="M11" s="53">
        <x:f>IF(E11&gt;0,L11/E11,"")</x:f>
      </x:c>
      <x:c r="N11" s="82" t="n"/>
    </x:row>
    <x:row r="12" s="38" customFormat="1" ht="15" customHeight="1">
      <x:c r="A12" s="48" t="n">
        <x:v>6</x:v>
      </x:c>
      <x:c r="B12" s="82" t="n"/>
      <x:c r="C12" s="82" t="n"/>
      <x:c r="D12" s="83" t="n"/>
      <x:c r="E12" s="79" t="n"/>
      <x:c r="F12" s="79" t="n"/>
      <x:c r="G12" s="79" t="n"/>
      <x:c r="H12" s="79" t="n"/>
      <x:c r="I12" s="79" t="n"/>
      <x:c r="J12" s="79" t="n"/>
      <x:c r="K12" s="86">
        <x:f>SUM(F12:J12)</x:f>
        <x:v>0</x:v>
      </x:c>
      <x:c r="L12" s="86">
        <x:f>E12-K12</x:f>
        <x:v>0</x:v>
      </x:c>
      <x:c r="M12" s="53">
        <x:f>IF(E12&gt;0,L12/E12,"")</x:f>
      </x:c>
      <x:c r="N12" s="82" t="n"/>
    </x:row>
    <x:row r="13" s="38" customFormat="1" ht="15" customHeight="1">
      <x:c r="A13" s="48" t="n">
        <x:v>7</x:v>
      </x:c>
      <x:c r="B13" s="82" t="n"/>
      <x:c r="C13" s="82" t="n"/>
      <x:c r="D13" s="83" t="n"/>
      <x:c r="E13" s="79" t="n"/>
      <x:c r="F13" s="79" t="n"/>
      <x:c r="G13" s="79" t="n"/>
      <x:c r="H13" s="79" t="n"/>
      <x:c r="I13" s="79" t="n"/>
      <x:c r="J13" s="79" t="n"/>
      <x:c r="K13" s="86">
        <x:f>SUM(F13:J13)</x:f>
        <x:v>0</x:v>
      </x:c>
      <x:c r="L13" s="86">
        <x:f>E13-K13</x:f>
        <x:v>0</x:v>
      </x:c>
      <x:c r="M13" s="53">
        <x:f>IF(E13&gt;0,L13/E13,"")</x:f>
      </x:c>
      <x:c r="N13" s="82" t="n"/>
    </x:row>
    <x:row r="14" s="38" customFormat="1" ht="15" customHeight="1">
      <x:c r="A14" s="48" t="n">
        <x:v>8</x:v>
      </x:c>
      <x:c r="B14" s="82" t="n"/>
      <x:c r="C14" s="82" t="n"/>
      <x:c r="D14" s="83" t="n"/>
      <x:c r="E14" s="79" t="n"/>
      <x:c r="F14" s="79" t="n"/>
      <x:c r="G14" s="79" t="n"/>
      <x:c r="H14" s="79" t="n"/>
      <x:c r="I14" s="79" t="n"/>
      <x:c r="J14" s="79" t="n"/>
      <x:c r="K14" s="86">
        <x:f>SUM(F14:J14)</x:f>
        <x:v>0</x:v>
      </x:c>
      <x:c r="L14" s="86">
        <x:f>E14-K14</x:f>
        <x:v>0</x:v>
      </x:c>
      <x:c r="M14" s="53">
        <x:f>IF(E14&gt;0,L14/E14,"")</x:f>
      </x:c>
      <x:c r="N14" s="82" t="n"/>
    </x:row>
    <x:row r="15" s="38" customFormat="1" ht="15" customHeight="1">
      <x:c r="A15" s="48" t="n">
        <x:v>9</x:v>
      </x:c>
      <x:c r="B15" s="82" t="n"/>
      <x:c r="C15" s="82" t="n"/>
      <x:c r="D15" s="83" t="n"/>
      <x:c r="E15" s="79" t="n"/>
      <x:c r="F15" s="79" t="n"/>
      <x:c r="G15" s="79" t="n"/>
      <x:c r="H15" s="79" t="n"/>
      <x:c r="I15" s="79" t="n"/>
      <x:c r="J15" s="79" t="n"/>
      <x:c r="K15" s="86">
        <x:f>SUM(F15:J15)</x:f>
        <x:v>0</x:v>
      </x:c>
      <x:c r="L15" s="86">
        <x:f>E15-K15</x:f>
        <x:v>0</x:v>
      </x:c>
      <x:c r="M15" s="53">
        <x:f>IF(E15&gt;0,L15/E15,"")</x:f>
      </x:c>
      <x:c r="N15" s="82" t="n"/>
    </x:row>
    <x:row r="16" s="38" customFormat="1" ht="15" customHeight="1">
      <x:c r="A16" s="48" t="n">
        <x:v>10</x:v>
      </x:c>
      <x:c r="B16" s="82" t="n"/>
      <x:c r="C16" s="82" t="n"/>
      <x:c r="D16" s="83" t="n"/>
      <x:c r="E16" s="79" t="n"/>
      <x:c r="F16" s="79" t="n"/>
      <x:c r="G16" s="79" t="n"/>
      <x:c r="H16" s="79" t="n"/>
      <x:c r="I16" s="79" t="n"/>
      <x:c r="J16" s="79" t="n"/>
      <x:c r="K16" s="86">
        <x:f>SUM(F16:J16)</x:f>
        <x:v>0</x:v>
      </x:c>
      <x:c r="L16" s="86">
        <x:f>E16-K16</x:f>
        <x:v>0</x:v>
      </x:c>
      <x:c r="M16" s="53">
        <x:f>IF(E16&gt;0,L16/E16,"")</x:f>
      </x:c>
      <x:c r="N16" s="82" t="n"/>
    </x:row>
    <x:row r="17" s="38" customFormat="1" ht="15" customHeight="1">
      <x:c r="A17" s="48" t="n">
        <x:v>11</x:v>
      </x:c>
      <x:c r="B17" s="82" t="n"/>
      <x:c r="C17" s="82" t="n"/>
      <x:c r="D17" s="83" t="n"/>
      <x:c r="E17" s="79" t="n"/>
      <x:c r="F17" s="79" t="n"/>
      <x:c r="G17" s="79" t="n"/>
      <x:c r="H17" s="79" t="n"/>
      <x:c r="I17" s="79" t="n"/>
      <x:c r="J17" s="79" t="n"/>
      <x:c r="K17" s="86">
        <x:f>SUM(F17:J17)</x:f>
        <x:v>0</x:v>
      </x:c>
      <x:c r="L17" s="86">
        <x:f>E17-K17</x:f>
        <x:v>0</x:v>
      </x:c>
      <x:c r="M17" s="53">
        <x:f>IF(E17&gt;0,L17/E17,"")</x:f>
      </x:c>
      <x:c r="N17" s="82" t="n"/>
    </x:row>
    <x:row r="18" s="38" customFormat="1" ht="15" customHeight="1">
      <x:c r="A18" s="48" t="n">
        <x:v>12</x:v>
      </x:c>
      <x:c r="B18" s="82" t="n"/>
      <x:c r="C18" s="82" t="n"/>
      <x:c r="D18" s="83" t="n"/>
      <x:c r="E18" s="79" t="n"/>
      <x:c r="F18" s="79" t="n"/>
      <x:c r="G18" s="79" t="n"/>
      <x:c r="H18" s="79" t="n"/>
      <x:c r="I18" s="79" t="n"/>
      <x:c r="J18" s="79" t="n"/>
      <x:c r="K18" s="86">
        <x:f>SUM(F18:J18)</x:f>
        <x:v>0</x:v>
      </x:c>
      <x:c r="L18" s="86">
        <x:f>E18-K18</x:f>
        <x:v>0</x:v>
      </x:c>
      <x:c r="M18" s="53">
        <x:f>IF(E18&gt;0,L18/E18,"")</x:f>
      </x:c>
      <x:c r="N18" s="82" t="n"/>
    </x:row>
    <x:row r="19" s="38" customFormat="1" ht="15" customHeight="1">
      <x:c r="A19" s="48" t="n">
        <x:v>13</x:v>
      </x:c>
      <x:c r="B19" s="82" t="n"/>
      <x:c r="C19" s="82" t="n"/>
      <x:c r="D19" s="83" t="n"/>
      <x:c r="E19" s="79" t="n"/>
      <x:c r="F19" s="79" t="n"/>
      <x:c r="G19" s="79" t="n"/>
      <x:c r="H19" s="79" t="n"/>
      <x:c r="I19" s="79" t="n"/>
      <x:c r="J19" s="79" t="n"/>
      <x:c r="K19" s="86">
        <x:f>SUM(F19:J19)</x:f>
        <x:v>0</x:v>
      </x:c>
      <x:c r="L19" s="86">
        <x:f>E19-K19</x:f>
        <x:v>0</x:v>
      </x:c>
      <x:c r="M19" s="53">
        <x:f>IF(E19&gt;0,L19/E19,"")</x:f>
      </x:c>
      <x:c r="N19" s="82" t="n"/>
    </x:row>
    <x:row r="20" s="38" customFormat="1" ht="15" customHeight="1">
      <x:c r="A20" s="48" t="n">
        <x:v>14</x:v>
      </x:c>
      <x:c r="B20" s="82" t="n"/>
      <x:c r="C20" s="82" t="n"/>
      <x:c r="D20" s="83" t="n"/>
      <x:c r="E20" s="79" t="n"/>
      <x:c r="F20" s="79" t="n"/>
      <x:c r="G20" s="79" t="n"/>
      <x:c r="H20" s="79" t="n"/>
      <x:c r="I20" s="79" t="n"/>
      <x:c r="J20" s="79" t="n"/>
      <x:c r="K20" s="86">
        <x:f>SUM(F20:J20)</x:f>
        <x:v>0</x:v>
      </x:c>
      <x:c r="L20" s="86">
        <x:f>E20-K20</x:f>
        <x:v>0</x:v>
      </x:c>
      <x:c r="M20" s="53">
        <x:f>IF(E20&gt;0,L20/E20,"")</x:f>
      </x:c>
      <x:c r="N20" s="82" t="n"/>
    </x:row>
    <x:row r="21" s="38" customFormat="1" ht="15" customHeight="1">
      <x:c r="A21" s="48" t="n">
        <x:v>15</x:v>
      </x:c>
      <x:c r="B21" s="82" t="n"/>
      <x:c r="C21" s="82" t="n"/>
      <x:c r="D21" s="83" t="n"/>
      <x:c r="E21" s="79" t="n"/>
      <x:c r="F21" s="79" t="n"/>
      <x:c r="G21" s="79" t="n"/>
      <x:c r="H21" s="79" t="n"/>
      <x:c r="I21" s="79" t="n"/>
      <x:c r="J21" s="79" t="n"/>
      <x:c r="K21" s="86">
        <x:f>SUM(F21:J21)</x:f>
        <x:v>0</x:v>
      </x:c>
      <x:c r="L21" s="86">
        <x:f>E21-K21</x:f>
        <x:v>0</x:v>
      </x:c>
      <x:c r="M21" s="53">
        <x:f>IF(E21&gt;0,L21/E21,"")</x:f>
      </x:c>
      <x:c r="N21" s="82" t="n"/>
    </x:row>
    <x:row r="22" s="38" customFormat="1" ht="15" customHeight="1">
      <x:c r="A22" s="48" t="n">
        <x:v>16</x:v>
      </x:c>
      <x:c r="B22" s="82" t="n"/>
      <x:c r="C22" s="82" t="n"/>
      <x:c r="D22" s="83" t="n"/>
      <x:c r="E22" s="79" t="n"/>
      <x:c r="F22" s="79" t="n"/>
      <x:c r="G22" s="79" t="n"/>
      <x:c r="H22" s="79" t="n"/>
      <x:c r="I22" s="79" t="n"/>
      <x:c r="J22" s="79" t="n"/>
      <x:c r="K22" s="86">
        <x:f>SUM(F22:J22)</x:f>
        <x:v>0</x:v>
      </x:c>
      <x:c r="L22" s="86">
        <x:f>E22-K22</x:f>
        <x:v>0</x:v>
      </x:c>
      <x:c r="M22" s="53">
        <x:f>IF(E22&gt;0,L22/E22,"")</x:f>
      </x:c>
      <x:c r="N22" s="82" t="n"/>
    </x:row>
    <x:row r="23" s="38" customFormat="1" ht="15" customHeight="1">
      <x:c r="A23" s="48" t="n">
        <x:v>17</x:v>
      </x:c>
      <x:c r="B23" s="82" t="n"/>
      <x:c r="C23" s="82" t="n"/>
      <x:c r="D23" s="83" t="n"/>
      <x:c r="E23" s="79" t="n"/>
      <x:c r="F23" s="79" t="n"/>
      <x:c r="G23" s="79" t="n"/>
      <x:c r="H23" s="79" t="n"/>
      <x:c r="I23" s="79" t="n"/>
      <x:c r="J23" s="79" t="n"/>
      <x:c r="K23" s="86">
        <x:f>SUM(F23:J23)</x:f>
        <x:v>0</x:v>
      </x:c>
      <x:c r="L23" s="86">
        <x:f>E23-K23</x:f>
        <x:v>0</x:v>
      </x:c>
      <x:c r="M23" s="53">
        <x:f>IF(E23&gt;0,L23/E23,"")</x:f>
      </x:c>
      <x:c r="N23" s="82" t="n"/>
    </x:row>
    <x:row r="24" s="38" customFormat="1" ht="15" customHeight="1">
      <x:c r="A24" s="48" t="n">
        <x:v>18</x:v>
      </x:c>
      <x:c r="B24" s="82" t="n"/>
      <x:c r="C24" s="82" t="n"/>
      <x:c r="D24" s="83" t="n"/>
      <x:c r="E24" s="79" t="n"/>
      <x:c r="F24" s="79" t="n"/>
      <x:c r="G24" s="79" t="n"/>
      <x:c r="H24" s="79" t="n"/>
      <x:c r="I24" s="79" t="n"/>
      <x:c r="J24" s="79" t="n"/>
      <x:c r="K24" s="86">
        <x:f>SUM(F24:J24)</x:f>
        <x:v>0</x:v>
      </x:c>
      <x:c r="L24" s="86">
        <x:f>E24-K24</x:f>
        <x:v>0</x:v>
      </x:c>
      <x:c r="M24" s="53">
        <x:f>IF(E24&gt;0,L24/E24,"")</x:f>
      </x:c>
      <x:c r="N24" s="82" t="n"/>
    </x:row>
    <x:row r="25" s="38" customFormat="1" ht="15" customHeight="1">
      <x:c r="A25" s="48" t="n">
        <x:v>19</x:v>
      </x:c>
      <x:c r="B25" s="82" t="n"/>
      <x:c r="C25" s="82" t="n"/>
      <x:c r="D25" s="83" t="n"/>
      <x:c r="E25" s="79" t="n"/>
      <x:c r="F25" s="79" t="n"/>
      <x:c r="G25" s="79" t="n"/>
      <x:c r="H25" s="79" t="n"/>
      <x:c r="I25" s="79" t="n"/>
      <x:c r="J25" s="79" t="n"/>
      <x:c r="K25" s="86">
        <x:f>SUM(F25:J25)</x:f>
        <x:v>0</x:v>
      </x:c>
      <x:c r="L25" s="86">
        <x:f>E25-K25</x:f>
        <x:v>0</x:v>
      </x:c>
      <x:c r="M25" s="53">
        <x:f>IF(E25&gt;0,L25/E25,"")</x:f>
      </x:c>
      <x:c r="N25" s="82" t="n"/>
    </x:row>
    <x:row r="26" s="38" customFormat="1" ht="15" customHeight="1">
      <x:c r="A26" s="48" t="n">
        <x:v>20</x:v>
      </x:c>
      <x:c r="B26" s="82" t="n"/>
      <x:c r="C26" s="82" t="n"/>
      <x:c r="D26" s="83" t="n"/>
      <x:c r="E26" s="79" t="n"/>
      <x:c r="F26" s="79" t="n"/>
      <x:c r="G26" s="79" t="n"/>
      <x:c r="H26" s="79" t="n"/>
      <x:c r="I26" s="79" t="n"/>
      <x:c r="J26" s="79" t="n"/>
      <x:c r="K26" s="86">
        <x:f>SUM(F26:J26)</x:f>
        <x:v>0</x:v>
      </x:c>
      <x:c r="L26" s="86">
        <x:f>E26-K26</x:f>
        <x:v>0</x:v>
      </x:c>
      <x:c r="M26" s="53">
        <x:f>IF(E26&gt;0,L26/E26,"")</x:f>
      </x:c>
      <x:c r="N26" s="82" t="n"/>
    </x:row>
    <x:row r="27" s="38" customFormat="1" ht="15" customHeight="1">
      <x:c r="A27" s="48" t="n">
        <x:v>21</x:v>
      </x:c>
      <x:c r="B27" s="82" t="n"/>
      <x:c r="C27" s="82" t="n"/>
      <x:c r="D27" s="83" t="n"/>
      <x:c r="E27" s="79" t="n"/>
      <x:c r="F27" s="79" t="n"/>
      <x:c r="G27" s="79" t="n"/>
      <x:c r="H27" s="79" t="n"/>
      <x:c r="I27" s="79" t="n"/>
      <x:c r="J27" s="79" t="n"/>
      <x:c r="K27" s="86">
        <x:f>SUM(F27:J27)</x:f>
        <x:v>0</x:v>
      </x:c>
      <x:c r="L27" s="86">
        <x:f>E27-K27</x:f>
        <x:v>0</x:v>
      </x:c>
      <x:c r="M27" s="53">
        <x:f>IF(E27&gt;0,L27/E27,"")</x:f>
      </x:c>
      <x:c r="N27" s="82" t="n"/>
    </x:row>
    <x:row r="28" s="38" customFormat="1" ht="15" customHeight="1">
      <x:c r="A28" s="48" t="n">
        <x:v>22</x:v>
      </x:c>
      <x:c r="B28" s="82" t="n"/>
      <x:c r="C28" s="82" t="n"/>
      <x:c r="D28" s="83" t="n"/>
      <x:c r="E28" s="79" t="n"/>
      <x:c r="F28" s="79" t="n"/>
      <x:c r="G28" s="79" t="n"/>
      <x:c r="H28" s="79" t="n"/>
      <x:c r="I28" s="79" t="n"/>
      <x:c r="J28" s="79" t="n"/>
      <x:c r="K28" s="86">
        <x:f>SUM(F28:J28)</x:f>
        <x:v>0</x:v>
      </x:c>
      <x:c r="L28" s="86">
        <x:f>E28-K28</x:f>
        <x:v>0</x:v>
      </x:c>
      <x:c r="M28" s="53">
        <x:f>IF(E28&gt;0,L28/E28,"")</x:f>
      </x:c>
      <x:c r="N28" s="82" t="n"/>
    </x:row>
    <x:row r="29" s="38" customFormat="1" ht="15" customHeight="1">
      <x:c r="A29" s="48" t="n">
        <x:v>23</x:v>
      </x:c>
      <x:c r="B29" s="82" t="n"/>
      <x:c r="C29" s="82" t="n"/>
      <x:c r="D29" s="83" t="n"/>
      <x:c r="E29" s="79" t="n"/>
      <x:c r="F29" s="79" t="n"/>
      <x:c r="G29" s="79" t="n"/>
      <x:c r="H29" s="79" t="n"/>
      <x:c r="I29" s="79" t="n"/>
      <x:c r="J29" s="79" t="n"/>
      <x:c r="K29" s="86">
        <x:f>SUM(F29:J29)</x:f>
        <x:v>0</x:v>
      </x:c>
      <x:c r="L29" s="86">
        <x:f>E29-K29</x:f>
        <x:v>0</x:v>
      </x:c>
      <x:c r="M29" s="53">
        <x:f>IF(E29&gt;0,L29/E29,"")</x:f>
      </x:c>
      <x:c r="N29" s="82" t="n"/>
    </x:row>
    <x:row r="30" s="38" customFormat="1" ht="15" customHeight="1">
      <x:c r="A30" s="48" t="n">
        <x:v>24</x:v>
      </x:c>
      <x:c r="B30" s="82" t="n"/>
      <x:c r="C30" s="82" t="n"/>
      <x:c r="D30" s="83" t="n"/>
      <x:c r="E30" s="79" t="n"/>
      <x:c r="F30" s="79" t="n"/>
      <x:c r="G30" s="79" t="n"/>
      <x:c r="H30" s="79" t="n"/>
      <x:c r="I30" s="79" t="n"/>
      <x:c r="J30" s="79" t="n"/>
      <x:c r="K30" s="86">
        <x:f>SUM(F30:J30)</x:f>
        <x:v>0</x:v>
      </x:c>
      <x:c r="L30" s="86">
        <x:f>E30-K30</x:f>
        <x:v>0</x:v>
      </x:c>
      <x:c r="M30" s="53">
        <x:f>IF(E30&gt;0,L30/E30,"")</x:f>
      </x:c>
      <x:c r="N30" s="82" t="n"/>
    </x:row>
    <x:row r="31" s="38" customFormat="1" ht="15" customHeight="1">
      <x:c r="A31" s="48" t="n">
        <x:v>25</x:v>
      </x:c>
      <x:c r="B31" s="82" t="n"/>
      <x:c r="C31" s="82" t="n"/>
      <x:c r="D31" s="83" t="n"/>
      <x:c r="E31" s="79" t="n"/>
      <x:c r="F31" s="79" t="n"/>
      <x:c r="G31" s="79" t="n"/>
      <x:c r="H31" s="79" t="n"/>
      <x:c r="I31" s="79" t="n"/>
      <x:c r="J31" s="79" t="n"/>
      <x:c r="K31" s="86">
        <x:f>SUM(F31:J31)</x:f>
        <x:v>0</x:v>
      </x:c>
      <x:c r="L31" s="86">
        <x:f>E31-K31</x:f>
        <x:v>0</x:v>
      </x:c>
      <x:c r="M31" s="53">
        <x:f>IF(E31&gt;0,L31/E31,"")</x:f>
      </x:c>
      <x:c r="N31" s="82" t="n"/>
    </x:row>
    <x:row r="32" s="38" customFormat="1" ht="15" customHeight="1">
      <x:c r="A32" s="48" t="n">
        <x:v>26</x:v>
      </x:c>
      <x:c r="B32" s="82" t="n"/>
      <x:c r="C32" s="82" t="n"/>
      <x:c r="D32" s="83" t="n"/>
      <x:c r="E32" s="79" t="n"/>
      <x:c r="F32" s="79" t="n"/>
      <x:c r="G32" s="79" t="n"/>
      <x:c r="H32" s="79" t="n"/>
      <x:c r="I32" s="79" t="n"/>
      <x:c r="J32" s="79" t="n"/>
      <x:c r="K32" s="86">
        <x:f>SUM(F32:J32)</x:f>
        <x:v>0</x:v>
      </x:c>
      <x:c r="L32" s="86">
        <x:f>E32-K32</x:f>
        <x:v>0</x:v>
      </x:c>
      <x:c r="M32" s="53">
        <x:f>IF(E32&gt;0,L32/E32,"")</x:f>
      </x:c>
      <x:c r="N32" s="82" t="n"/>
    </x:row>
    <x:row r="33" s="38" customFormat="1" ht="15" customHeight="1">
      <x:c r="A33" s="48" t="n">
        <x:v>27</x:v>
      </x:c>
      <x:c r="B33" s="82" t="n"/>
      <x:c r="C33" s="82" t="n"/>
      <x:c r="D33" s="83" t="n"/>
      <x:c r="E33" s="79" t="n"/>
      <x:c r="F33" s="79" t="n"/>
      <x:c r="G33" s="79" t="n"/>
      <x:c r="H33" s="79" t="n"/>
      <x:c r="I33" s="79" t="n"/>
      <x:c r="J33" s="79" t="n"/>
      <x:c r="K33" s="86">
        <x:f>SUM(F33:J33)</x:f>
        <x:v>0</x:v>
      </x:c>
      <x:c r="L33" s="86">
        <x:f>E33-K33</x:f>
        <x:v>0</x:v>
      </x:c>
      <x:c r="M33" s="53">
        <x:f>IF(E33&gt;0,L33/E33,"")</x:f>
      </x:c>
      <x:c r="N33" s="82" t="n"/>
    </x:row>
    <x:row r="34" s="38" customFormat="1" ht="15" customHeight="1">
      <x:c r="A34" s="48" t="n">
        <x:v>28</x:v>
      </x:c>
      <x:c r="B34" s="82" t="n"/>
      <x:c r="C34" s="82" t="n"/>
      <x:c r="D34" s="83" t="n"/>
      <x:c r="E34" s="79" t="n"/>
      <x:c r="F34" s="79" t="n"/>
      <x:c r="G34" s="79" t="n"/>
      <x:c r="H34" s="79" t="n"/>
      <x:c r="I34" s="79" t="n"/>
      <x:c r="J34" s="79" t="n"/>
      <x:c r="K34" s="86">
        <x:f>SUM(F34:J34)</x:f>
        <x:v>0</x:v>
      </x:c>
      <x:c r="L34" s="86">
        <x:f>E34-K34</x:f>
        <x:v>0</x:v>
      </x:c>
      <x:c r="M34" s="53">
        <x:f>IF(E34&gt;0,L34/E34,"")</x:f>
      </x:c>
      <x:c r="N34" s="82" t="n"/>
    </x:row>
    <x:row r="35" s="38" customFormat="1" ht="15" customHeight="1">
      <x:c r="A35" s="48" t="n">
        <x:v>29</x:v>
      </x:c>
      <x:c r="B35" s="82" t="n"/>
      <x:c r="C35" s="82" t="n"/>
      <x:c r="D35" s="83" t="n"/>
      <x:c r="E35" s="79" t="n"/>
      <x:c r="F35" s="79" t="n"/>
      <x:c r="G35" s="79" t="n"/>
      <x:c r="H35" s="79" t="n"/>
      <x:c r="I35" s="79" t="n"/>
      <x:c r="J35" s="79" t="n"/>
      <x:c r="K35" s="86">
        <x:f>SUM(F35:J35)</x:f>
        <x:v>0</x:v>
      </x:c>
      <x:c r="L35" s="86">
        <x:f>E35-K35</x:f>
        <x:v>0</x:v>
      </x:c>
      <x:c r="M35" s="53">
        <x:f>IF(E35&gt;0,L35/E35,"")</x:f>
      </x:c>
      <x:c r="N35" s="82" t="n"/>
    </x:row>
    <x:row r="36" s="38" customFormat="1" ht="15" customHeight="1">
      <x:c r="A36" s="48" t="n">
        <x:v>30</x:v>
      </x:c>
      <x:c r="B36" s="82" t="n"/>
      <x:c r="C36" s="82" t="n"/>
      <x:c r="D36" s="83" t="n"/>
      <x:c r="E36" s="79" t="n"/>
      <x:c r="F36" s="79" t="n"/>
      <x:c r="G36" s="79" t="n"/>
      <x:c r="H36" s="79" t="n"/>
      <x:c r="I36" s="79" t="n"/>
      <x:c r="J36" s="79" t="n"/>
      <x:c r="K36" s="86">
        <x:f>SUM(F36:J36)</x:f>
        <x:v>0</x:v>
      </x:c>
      <x:c r="L36" s="86">
        <x:f>E36-K36</x:f>
        <x:v>0</x:v>
      </x:c>
      <x:c r="M36" s="53">
        <x:f>IF(E36&gt;0,L36/E36,"")</x:f>
      </x:c>
      <x:c r="N36" s="82" t="n"/>
    </x:row>
    <x:row r="37" s="38" customFormat="1" ht="27.75" customHeight="1">
      <x:c r="A37" s="54" t="n"/>
      <x:c r="B37" s="78" t="inlineStr">
        <x:is>
          <x:t xml:space="preserve">合　計</x:t>
        </x:is>
      </x:c>
      <x:c r="C37" s="55" t="n"/>
      <x:c r="D37" s="56" t="n"/>
      <x:c r="E37" s="57">
        <x:f>SUM(E7:E36)</x:f>
        <x:v>0</x:v>
      </x:c>
      <x:c r="F37" s="57">
        <x:f>SUM(F7:F36)</x:f>
        <x:v>0</x:v>
      </x:c>
      <x:c r="G37" s="57">
        <x:f>SUM(G7:G36)</x:f>
        <x:v>0</x:v>
      </x:c>
      <x:c r="H37" s="57">
        <x:f>SUM(H7:H36)</x:f>
        <x:v>0</x:v>
      </x:c>
      <x:c r="I37" s="57">
        <x:f>SUM(I7:I36)</x:f>
        <x:v>0</x:v>
      </x:c>
      <x:c r="J37" s="57">
        <x:f>SUM(J7:J36)</x:f>
        <x:v>0</x:v>
      </x:c>
      <x:c r="K37" s="57">
        <x:f>SUM(K7:K36)</x:f>
        <x:v>0</x:v>
      </x:c>
      <x:c r="L37" s="57">
        <x:f>SUM(L7:L36)</x:f>
        <x:v>0</x:v>
      </x:c>
      <x:c r="M37" s="58">
        <x:f>IF(E37&gt;0,L37/E37,"")</x:f>
      </x:c>
      <x:c r="N37" s="59" t="n"/>
    </x:row>
    <x:row r="39" s="38" customFormat="1" ht="14.149999618530273" customHeight="1">
      <x:c r="A39" s="60" t="inlineStr">
        <x:is>
          <x:t xml:space="preserve">【読み方】粗利率が15%を下回る工事は赤字リスクあり（固定費を賄えない可能性）。20%以上が目安。</x:t>
        </x:is>
      </x:c>
    </x:row>
  </x:sheetData>
  <x:mergeCells>
    <x:mergeCell ref="A2:N2"/>
    <x:mergeCell ref="B37:D37"/>
    <x:mergeCell ref="A39:N39"/>
    <x:mergeCell ref="A1:N1"/>
  </x:mergeCells>
  <x:conditionalFormatting sqref="M7:M36">
    <x:cfRule type="cellIs" dxfId="0" priority="2" operator="lessThan">
      <x:formula>0.15</x:formula>
    </x:cfRule>
    <x:cfRule type="cellIs" dxfId="1" priority="3" operator="greaterThanOrEqual">
      <x:formula>0.2</x:formula>
    </x:cfRule>
  </x:conditionalFormatting>
  <x:conditionalFormatting sqref="L7:L36">
    <x:cfRule type="cellIs" dxfId="0" priority="4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A34A"/>
  </x:sheetPr>
  <x:sheetViews>
    <x:sheetView showGridLines="1" workbookViewId="0"/>
  </x:sheetViews>
  <x:sheetFormatPr baseColWidth="8" defaultColWidth="8.6796875" defaultRowHeight="15"/>
  <x:cols>
    <x:col min="1" max="1" width="4" style="37" customWidth="1"/>
    <x:col min="2" max="2" width="20" style="37" customWidth="1"/>
    <x:col min="3" max="3" width="14" style="37" customWidth="1"/>
    <x:col min="4" max="4" width="10" style="37" customWidth="1"/>
    <x:col min="5" max="6" width="14" style="37" customWidth="1"/>
    <x:col min="7" max="7" width="12" style="37" customWidth="1"/>
    <x:col min="8" max="8" width="20" style="37" customWidth="1"/>
  </x:cols>
  <x:sheetData>
    <x:row r="1" s="38" customFormat="1" ht="36" customHeight="1">
      <x:c r="A1" s="76" t="inlineStr">
        <x:is>
          <x:t xml:space="preserve">労務費計算シート（工事別）</x:t>
        </x:is>
      </x:c>
    </x:row>
    <x:row r="2" s="38" customFormat="1" ht="15" customHeight="1">
      <x:c r="A2" s="77" t="inlineStr">
        <x:is>
          <x:t xml:space="preserve">各工事に何人・何日入ったかを記録し、労務費を自動計算します。工事別損益の「労務費」欄に転記してください。</x:t>
        </x:is>
      </x:c>
    </x:row>
    <x:row r="4" s="38" customFormat="1" ht="15" customHeight="1">
      <x:c r="A4" s="41" t="n"/>
      <x:c r="B4" s="42" t="inlineStr">
        <x:is>
          <x:t xml:space="preserve">日当単価（標準）</x:t>
        </x:is>
      </x:c>
      <x:c r="C4" s="61" t="n">
        <x:v>25000</x:v>
      </x:c>
      <x:c r="D4" s="62" t="n"/>
      <x:c r="E4" s="60" t="inlineStr">
        <x:is>
          <x:t xml:space="preserve">← 変更可</x:t>
        </x:is>
      </x:c>
    </x:row>
    <x:row r="6" s="38" customFormat="1" ht="28.350000381469727" customHeight="1">
      <x:c r="A6" s="44" t="inlineStr">
        <x:is>
          <x:t xml:space="preserve">No.</x:t>
        </x:is>
      </x:c>
      <x:c r="B6" s="78" t="inlineStr">
        <x:is>
          <x:t xml:space="preserve">工事名</x:t>
        </x:is>
      </x:c>
      <x:c r="C6" s="78" t="inlineStr">
        <x:is>
          <x:t xml:space="preserve">作業者名</x:t>
        </x:is>
      </x:c>
      <x:c r="D6" s="78" t="inlineStr">
        <x:is>
          <x:t xml:space="preserve">人日</x:t>
        </x:is>
      </x:c>
      <x:c r="E6" s="78" t="inlineStr">
        <x:is>
          <x:t xml:space="preserve">日当単価</x:t>
        </x:is>
      </x:c>
      <x:c r="F6" s="78" t="inlineStr">
        <x:is>
          <x:t xml:space="preserve">小計</x:t>
        </x:is>
      </x:c>
      <x:c r="G6" s="78" t="inlineStr">
        <x:is>
          <x:t xml:space="preserve">工事別合計</x:t>
        </x:is>
      </x:c>
      <x:c r="H6" s="78" t="inlineStr">
        <x:is>
          <x:t xml:space="preserve">備考</x:t>
        </x:is>
      </x:c>
    </x:row>
    <x:row r="7" s="38" customFormat="1" ht="15" customHeight="1">
      <x:c r="A7" s="48" t="n">
        <x:v>1</x:v>
      </x:c>
      <x:c r="B7" s="82" t="n"/>
      <x:c r="C7" s="82" t="n"/>
      <x:c r="D7" s="63" t="n"/>
      <x:c r="E7" s="86">
        <x:f>$C$4</x:f>
        <x:v>25000</x:v>
      </x:c>
      <x:c r="F7" s="86">
        <x:f>D7*E7</x:f>
        <x:v>0</x:v>
      </x:c>
      <x:c r="G7" s="64">
        <x:f>SUM(F7:F9)</x:f>
        <x:v>0</x:v>
      </x:c>
      <x:c r="H7" s="82" t="n"/>
    </x:row>
    <x:row r="8" s="38" customFormat="1" ht="15" customHeight="1">
      <x:c r="A8" s="48" t="n"/>
      <x:c r="B8" s="65" t="n"/>
      <x:c r="C8" s="82" t="n"/>
      <x:c r="D8" s="63" t="n"/>
      <x:c r="E8" s="86">
        <x:f>$C$4</x:f>
        <x:v>25000</x:v>
      </x:c>
      <x:c r="F8" s="86">
        <x:f>D8*E8</x:f>
        <x:v>0</x:v>
      </x:c>
      <x:c r="G8" s="66" t="n"/>
      <x:c r="H8" s="65" t="n"/>
    </x:row>
    <x:row r="9" s="38" customFormat="1" ht="15" customHeight="1">
      <x:c r="A9" s="48" t="n"/>
      <x:c r="B9" s="65" t="n"/>
      <x:c r="C9" s="82" t="n"/>
      <x:c r="D9" s="63" t="n"/>
      <x:c r="E9" s="86">
        <x:f>$C$4</x:f>
        <x:v>25000</x:v>
      </x:c>
      <x:c r="F9" s="86">
        <x:f>D9*E9</x:f>
        <x:v>0</x:v>
      </x:c>
      <x:c r="G9" s="66" t="n"/>
      <x:c r="H9" s="65" t="n"/>
    </x:row>
    <x:row r="10" s="38" customFormat="1" ht="15" customHeight="1">
      <x:c r="A10" s="48" t="n">
        <x:v>2</x:v>
      </x:c>
      <x:c r="B10" s="82" t="n"/>
      <x:c r="C10" s="82" t="n"/>
      <x:c r="D10" s="63" t="n"/>
      <x:c r="E10" s="86">
        <x:f>$C$4</x:f>
        <x:v>25000</x:v>
      </x:c>
      <x:c r="F10" s="86">
        <x:f>D10*E10</x:f>
        <x:v>0</x:v>
      </x:c>
      <x:c r="G10" s="64">
        <x:f>SUM(F10:F12)</x:f>
        <x:v>0</x:v>
      </x:c>
      <x:c r="H10" s="82" t="n"/>
    </x:row>
    <x:row r="11" s="38" customFormat="1" ht="15" customHeight="1">
      <x:c r="A11" s="48" t="n"/>
      <x:c r="B11" s="65" t="n"/>
      <x:c r="C11" s="82" t="n"/>
      <x:c r="D11" s="63" t="n"/>
      <x:c r="E11" s="86">
        <x:f>$C$4</x:f>
        <x:v>25000</x:v>
      </x:c>
      <x:c r="F11" s="86">
        <x:f>D11*E11</x:f>
        <x:v>0</x:v>
      </x:c>
      <x:c r="G11" s="66" t="n"/>
      <x:c r="H11" s="65" t="n"/>
    </x:row>
    <x:row r="12" s="38" customFormat="1" ht="15" customHeight="1">
      <x:c r="A12" s="48" t="n"/>
      <x:c r="B12" s="65" t="n"/>
      <x:c r="C12" s="82" t="n"/>
      <x:c r="D12" s="63" t="n"/>
      <x:c r="E12" s="86">
        <x:f>$C$4</x:f>
        <x:v>25000</x:v>
      </x:c>
      <x:c r="F12" s="86">
        <x:f>D12*E12</x:f>
        <x:v>0</x:v>
      </x:c>
      <x:c r="G12" s="66" t="n"/>
      <x:c r="H12" s="65" t="n"/>
    </x:row>
    <x:row r="13" s="38" customFormat="1" ht="15" customHeight="1">
      <x:c r="A13" s="48" t="n">
        <x:v>3</x:v>
      </x:c>
      <x:c r="B13" s="82" t="n"/>
      <x:c r="C13" s="82" t="n"/>
      <x:c r="D13" s="63" t="n"/>
      <x:c r="E13" s="86">
        <x:f>$C$4</x:f>
        <x:v>25000</x:v>
      </x:c>
      <x:c r="F13" s="86">
        <x:f>D13*E13</x:f>
        <x:v>0</x:v>
      </x:c>
      <x:c r="G13" s="64">
        <x:f>SUM(F13:F15)</x:f>
        <x:v>0</x:v>
      </x:c>
      <x:c r="H13" s="82" t="n"/>
    </x:row>
    <x:row r="14" s="38" customFormat="1" ht="15" customHeight="1">
      <x:c r="A14" s="48" t="n"/>
      <x:c r="B14" s="65" t="n"/>
      <x:c r="C14" s="82" t="n"/>
      <x:c r="D14" s="63" t="n"/>
      <x:c r="E14" s="86">
        <x:f>$C$4</x:f>
        <x:v>25000</x:v>
      </x:c>
      <x:c r="F14" s="86">
        <x:f>D14*E14</x:f>
        <x:v>0</x:v>
      </x:c>
      <x:c r="G14" s="66" t="n"/>
      <x:c r="H14" s="65" t="n"/>
    </x:row>
    <x:row r="15" s="38" customFormat="1" ht="15" customHeight="1">
      <x:c r="A15" s="48" t="n"/>
      <x:c r="B15" s="65" t="n"/>
      <x:c r="C15" s="82" t="n"/>
      <x:c r="D15" s="63" t="n"/>
      <x:c r="E15" s="86">
        <x:f>$C$4</x:f>
        <x:v>25000</x:v>
      </x:c>
      <x:c r="F15" s="86">
        <x:f>D15*E15</x:f>
        <x:v>0</x:v>
      </x:c>
      <x:c r="G15" s="66" t="n"/>
      <x:c r="H15" s="65" t="n"/>
    </x:row>
    <x:row r="16" s="38" customFormat="1" ht="15" customHeight="1">
      <x:c r="A16" s="48" t="n">
        <x:v>4</x:v>
      </x:c>
      <x:c r="B16" s="82" t="n"/>
      <x:c r="C16" s="82" t="n"/>
      <x:c r="D16" s="63" t="n"/>
      <x:c r="E16" s="86">
        <x:f>$C$4</x:f>
        <x:v>25000</x:v>
      </x:c>
      <x:c r="F16" s="86">
        <x:f>D16*E16</x:f>
        <x:v>0</x:v>
      </x:c>
      <x:c r="G16" s="64">
        <x:f>SUM(F16:F18)</x:f>
        <x:v>0</x:v>
      </x:c>
      <x:c r="H16" s="82" t="n"/>
    </x:row>
    <x:row r="17" s="38" customFormat="1" ht="15" customHeight="1">
      <x:c r="A17" s="48" t="n"/>
      <x:c r="B17" s="65" t="n"/>
      <x:c r="C17" s="82" t="n"/>
      <x:c r="D17" s="63" t="n"/>
      <x:c r="E17" s="86">
        <x:f>$C$4</x:f>
        <x:v>25000</x:v>
      </x:c>
      <x:c r="F17" s="86">
        <x:f>D17*E17</x:f>
        <x:v>0</x:v>
      </x:c>
      <x:c r="G17" s="66" t="n"/>
      <x:c r="H17" s="65" t="n"/>
    </x:row>
    <x:row r="18" s="38" customFormat="1" ht="15" customHeight="1">
      <x:c r="A18" s="48" t="n"/>
      <x:c r="B18" s="65" t="n"/>
      <x:c r="C18" s="82" t="n"/>
      <x:c r="D18" s="63" t="n"/>
      <x:c r="E18" s="86">
        <x:f>$C$4</x:f>
        <x:v>25000</x:v>
      </x:c>
      <x:c r="F18" s="86">
        <x:f>D18*E18</x:f>
        <x:v>0</x:v>
      </x:c>
      <x:c r="G18" s="66" t="n"/>
      <x:c r="H18" s="65" t="n"/>
    </x:row>
    <x:row r="19" s="38" customFormat="1" ht="15" customHeight="1">
      <x:c r="A19" s="48" t="n">
        <x:v>5</x:v>
      </x:c>
      <x:c r="B19" s="82" t="n"/>
      <x:c r="C19" s="82" t="n"/>
      <x:c r="D19" s="63" t="n"/>
      <x:c r="E19" s="86">
        <x:f>$C$4</x:f>
        <x:v>25000</x:v>
      </x:c>
      <x:c r="F19" s="86">
        <x:f>D19*E19</x:f>
        <x:v>0</x:v>
      </x:c>
      <x:c r="G19" s="64">
        <x:f>SUM(F19:F21)</x:f>
        <x:v>0</x:v>
      </x:c>
      <x:c r="H19" s="82" t="n"/>
    </x:row>
    <x:row r="20" s="38" customFormat="1" ht="15" customHeight="1">
      <x:c r="A20" s="48" t="n"/>
      <x:c r="B20" s="65" t="n"/>
      <x:c r="C20" s="82" t="n"/>
      <x:c r="D20" s="63" t="n"/>
      <x:c r="E20" s="86">
        <x:f>$C$4</x:f>
        <x:v>25000</x:v>
      </x:c>
      <x:c r="F20" s="86">
        <x:f>D20*E20</x:f>
        <x:v>0</x:v>
      </x:c>
      <x:c r="G20" s="66" t="n"/>
      <x:c r="H20" s="65" t="n"/>
    </x:row>
    <x:row r="21" s="38" customFormat="1" ht="15" customHeight="1">
      <x:c r="A21" s="48" t="n"/>
      <x:c r="B21" s="65" t="n"/>
      <x:c r="C21" s="82" t="n"/>
      <x:c r="D21" s="63" t="n"/>
      <x:c r="E21" s="86">
        <x:f>$C$4</x:f>
        <x:v>25000</x:v>
      </x:c>
      <x:c r="F21" s="86">
        <x:f>D21*E21</x:f>
        <x:v>0</x:v>
      </x:c>
      <x:c r="G21" s="66" t="n"/>
      <x:c r="H21" s="65" t="n"/>
    </x:row>
    <x:row r="22" s="38" customFormat="1" ht="15" customHeight="1">
      <x:c r="A22" s="48" t="n">
        <x:v>6</x:v>
      </x:c>
      <x:c r="B22" s="82" t="n"/>
      <x:c r="C22" s="82" t="n"/>
      <x:c r="D22" s="63" t="n"/>
      <x:c r="E22" s="86">
        <x:f>$C$4</x:f>
        <x:v>25000</x:v>
      </x:c>
      <x:c r="F22" s="86">
        <x:f>D22*E22</x:f>
        <x:v>0</x:v>
      </x:c>
      <x:c r="G22" s="64">
        <x:f>SUM(F22:F24)</x:f>
        <x:v>0</x:v>
      </x:c>
      <x:c r="H22" s="82" t="n"/>
    </x:row>
    <x:row r="23" s="38" customFormat="1" ht="15" customHeight="1">
      <x:c r="A23" s="48" t="n"/>
      <x:c r="B23" s="65" t="n"/>
      <x:c r="C23" s="82" t="n"/>
      <x:c r="D23" s="63" t="n"/>
      <x:c r="E23" s="86">
        <x:f>$C$4</x:f>
        <x:v>25000</x:v>
      </x:c>
      <x:c r="F23" s="86">
        <x:f>D23*E23</x:f>
        <x:v>0</x:v>
      </x:c>
      <x:c r="G23" s="66" t="n"/>
      <x:c r="H23" s="65" t="n"/>
    </x:row>
    <x:row r="24" s="38" customFormat="1" ht="15" customHeight="1">
      <x:c r="A24" s="48" t="n"/>
      <x:c r="B24" s="65" t="n"/>
      <x:c r="C24" s="82" t="n"/>
      <x:c r="D24" s="63" t="n"/>
      <x:c r="E24" s="86">
        <x:f>$C$4</x:f>
        <x:v>25000</x:v>
      </x:c>
      <x:c r="F24" s="86">
        <x:f>D24*E24</x:f>
        <x:v>0</x:v>
      </x:c>
      <x:c r="G24" s="66" t="n"/>
      <x:c r="H24" s="65" t="n"/>
    </x:row>
    <x:row r="25" s="38" customFormat="1" ht="15" customHeight="1">
      <x:c r="A25" s="48" t="n">
        <x:v>7</x:v>
      </x:c>
      <x:c r="B25" s="82" t="n"/>
      <x:c r="C25" s="82" t="n"/>
      <x:c r="D25" s="63" t="n"/>
      <x:c r="E25" s="86">
        <x:f>$C$4</x:f>
        <x:v>25000</x:v>
      </x:c>
      <x:c r="F25" s="86">
        <x:f>D25*E25</x:f>
        <x:v>0</x:v>
      </x:c>
      <x:c r="G25" s="64">
        <x:f>SUM(F25:F27)</x:f>
        <x:v>0</x:v>
      </x:c>
      <x:c r="H25" s="82" t="n"/>
    </x:row>
    <x:row r="26" s="38" customFormat="1" ht="15" customHeight="1">
      <x:c r="A26" s="48" t="n"/>
      <x:c r="B26" s="65" t="n"/>
      <x:c r="C26" s="82" t="n"/>
      <x:c r="D26" s="63" t="n"/>
      <x:c r="E26" s="86">
        <x:f>$C$4</x:f>
        <x:v>25000</x:v>
      </x:c>
      <x:c r="F26" s="86">
        <x:f>D26*E26</x:f>
        <x:v>0</x:v>
      </x:c>
      <x:c r="G26" s="66" t="n"/>
      <x:c r="H26" s="65" t="n"/>
    </x:row>
    <x:row r="27" s="38" customFormat="1" ht="15" customHeight="1">
      <x:c r="A27" s="48" t="n"/>
      <x:c r="B27" s="65" t="n"/>
      <x:c r="C27" s="82" t="n"/>
      <x:c r="D27" s="63" t="n"/>
      <x:c r="E27" s="86">
        <x:f>$C$4</x:f>
        <x:v>25000</x:v>
      </x:c>
      <x:c r="F27" s="86">
        <x:f>D27*E27</x:f>
        <x:v>0</x:v>
      </x:c>
      <x:c r="G27" s="66" t="n"/>
      <x:c r="H27" s="65" t="n"/>
    </x:row>
    <x:row r="28" s="38" customFormat="1" ht="15" customHeight="1">
      <x:c r="A28" s="48" t="n">
        <x:v>8</x:v>
      </x:c>
      <x:c r="B28" s="82" t="n"/>
      <x:c r="C28" s="82" t="n"/>
      <x:c r="D28" s="63" t="n"/>
      <x:c r="E28" s="86">
        <x:f>$C$4</x:f>
        <x:v>25000</x:v>
      </x:c>
      <x:c r="F28" s="86">
        <x:f>D28*E28</x:f>
        <x:v>0</x:v>
      </x:c>
      <x:c r="G28" s="64">
        <x:f>SUM(F28:F30)</x:f>
        <x:v>0</x:v>
      </x:c>
      <x:c r="H28" s="82" t="n"/>
    </x:row>
    <x:row r="29" s="38" customFormat="1" ht="15" customHeight="1">
      <x:c r="A29" s="48" t="n"/>
      <x:c r="B29" s="65" t="n"/>
      <x:c r="C29" s="82" t="n"/>
      <x:c r="D29" s="63" t="n"/>
      <x:c r="E29" s="86">
        <x:f>$C$4</x:f>
        <x:v>25000</x:v>
      </x:c>
      <x:c r="F29" s="86">
        <x:f>D29*E29</x:f>
        <x:v>0</x:v>
      </x:c>
      <x:c r="G29" s="66" t="n"/>
      <x:c r="H29" s="65" t="n"/>
    </x:row>
    <x:row r="30" s="38" customFormat="1" ht="15" customHeight="1">
      <x:c r="A30" s="48" t="n"/>
      <x:c r="B30" s="65" t="n"/>
      <x:c r="C30" s="82" t="n"/>
      <x:c r="D30" s="63" t="n"/>
      <x:c r="E30" s="86">
        <x:f>$C$4</x:f>
        <x:v>25000</x:v>
      </x:c>
      <x:c r="F30" s="86">
        <x:f>D30*E30</x:f>
        <x:v>0</x:v>
      </x:c>
      <x:c r="G30" s="66" t="n"/>
      <x:c r="H30" s="65" t="n"/>
    </x:row>
    <x:row r="31" s="38" customFormat="1" ht="15" customHeight="1">
      <x:c r="A31" s="48" t="n">
        <x:v>9</x:v>
      </x:c>
      <x:c r="B31" s="82" t="n"/>
      <x:c r="C31" s="82" t="n"/>
      <x:c r="D31" s="63" t="n"/>
      <x:c r="E31" s="86">
        <x:f>$C$4</x:f>
        <x:v>25000</x:v>
      </x:c>
      <x:c r="F31" s="86">
        <x:f>D31*E31</x:f>
        <x:v>0</x:v>
      </x:c>
      <x:c r="G31" s="64">
        <x:f>SUM(F31:F33)</x:f>
        <x:v>0</x:v>
      </x:c>
      <x:c r="H31" s="82" t="n"/>
    </x:row>
    <x:row r="32" s="38" customFormat="1" ht="15" customHeight="1">
      <x:c r="A32" s="48" t="n"/>
      <x:c r="B32" s="65" t="n"/>
      <x:c r="C32" s="82" t="n"/>
      <x:c r="D32" s="63" t="n"/>
      <x:c r="E32" s="86">
        <x:f>$C$4</x:f>
        <x:v>25000</x:v>
      </x:c>
      <x:c r="F32" s="86">
        <x:f>D32*E32</x:f>
        <x:v>0</x:v>
      </x:c>
      <x:c r="G32" s="66" t="n"/>
      <x:c r="H32" s="65" t="n"/>
    </x:row>
    <x:row r="33" s="38" customFormat="1" ht="15" customHeight="1">
      <x:c r="A33" s="48" t="n"/>
      <x:c r="B33" s="65" t="n"/>
      <x:c r="C33" s="82" t="n"/>
      <x:c r="D33" s="63" t="n"/>
      <x:c r="E33" s="86">
        <x:f>$C$4</x:f>
        <x:v>25000</x:v>
      </x:c>
      <x:c r="F33" s="86">
        <x:f>D33*E33</x:f>
        <x:v>0</x:v>
      </x:c>
      <x:c r="G33" s="66" t="n"/>
      <x:c r="H33" s="65" t="n"/>
    </x:row>
    <x:row r="34" s="38" customFormat="1" ht="15" customHeight="1">
      <x:c r="A34" s="48" t="n">
        <x:v>10</x:v>
      </x:c>
      <x:c r="B34" s="82" t="n"/>
      <x:c r="C34" s="82" t="n"/>
      <x:c r="D34" s="63" t="n"/>
      <x:c r="E34" s="86">
        <x:f>$C$4</x:f>
        <x:v>25000</x:v>
      </x:c>
      <x:c r="F34" s="86">
        <x:f>D34*E34</x:f>
        <x:v>0</x:v>
      </x:c>
      <x:c r="G34" s="64">
        <x:f>SUM(F34:F36)</x:f>
        <x:v>0</x:v>
      </x:c>
      <x:c r="H34" s="82" t="n"/>
    </x:row>
    <x:row r="35" s="38" customFormat="1" ht="15" customHeight="1">
      <x:c r="A35" s="48" t="n"/>
      <x:c r="B35" s="65" t="n"/>
      <x:c r="C35" s="82" t="n"/>
      <x:c r="D35" s="63" t="n"/>
      <x:c r="E35" s="86">
        <x:f>$C$4</x:f>
        <x:v>25000</x:v>
      </x:c>
      <x:c r="F35" s="86">
        <x:f>D35*E35</x:f>
        <x:v>0</x:v>
      </x:c>
      <x:c r="G35" s="66" t="n"/>
      <x:c r="H35" s="65" t="n"/>
    </x:row>
    <x:row r="36" s="38" customFormat="1" ht="15" customHeight="1">
      <x:c r="A36" s="48" t="n"/>
      <x:c r="B36" s="65" t="n"/>
      <x:c r="C36" s="82" t="n"/>
      <x:c r="D36" s="63" t="n"/>
      <x:c r="E36" s="86">
        <x:f>$C$4</x:f>
        <x:v>25000</x:v>
      </x:c>
      <x:c r="F36" s="86">
        <x:f>D36*E36</x:f>
        <x:v>0</x:v>
      </x:c>
      <x:c r="G36" s="66" t="n"/>
      <x:c r="H36" s="65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1" workbookViewId="0"/>
  </x:sheetViews>
  <x:sheetFormatPr baseColWidth="8" defaultColWidth="8.6796875" defaultRowHeight="15"/>
  <x:cols>
    <x:col min="1" max="1" width="14" style="37" customWidth="1"/>
    <x:col min="2" max="7" width="16" style="37" customWidth="1"/>
    <x:col min="8" max="9" width="12" style="37" customWidth="1"/>
  </x:cols>
  <x:sheetData>
    <x:row r="1" s="38" customFormat="1" ht="36" customHeight="1">
      <x:c r="A1" s="76" t="inlineStr">
        <x:is>
          <x:t xml:space="preserve">月次損益サマリー</x:t>
        </x:is>
      </x:c>
    </x:row>
    <x:row r="2" s="38" customFormat="1" ht="15" customHeight="1">
      <x:c r="A2" s="77" t="inlineStr">
        <x:is>
          <x:t xml:space="preserve">工事別損益シートの合計を月ごとに転記して、年間の推移を確認します。</x:t>
        </x:is>
      </x:c>
    </x:row>
    <x:row r="4" s="38" customFormat="1" ht="15" customHeight="1">
      <x:c r="A4" s="42" t="inlineStr">
        <x:is>
          <x:t xml:space="preserve">月額固定費（概算）</x:t>
        </x:is>
      </x:c>
    </x:row>
    <x:row r="5" s="38" customFormat="1" ht="17.149999618530273" customHeight="1">
      <x:c r="A5" s="67" t="inlineStr">
        <x:is>
          <x:t xml:space="preserve">借入返済</x:t>
        </x:is>
      </x:c>
      <x:c r="B5" s="68" t="n">
        <x:v>450000</x:v>
      </x:c>
    </x:row>
    <x:row r="6" s="38" customFormat="1" ht="17.149999618530273" customHeight="1">
      <x:c r="A6" s="67" t="inlineStr">
        <x:is>
          <x:t xml:space="preserve">社会保険料</x:t>
        </x:is>
      </x:c>
      <x:c r="B6" s="68" t="n"/>
    </x:row>
    <x:row r="7" s="38" customFormat="1" ht="17.149999618530273" customHeight="1">
      <x:c r="A7" s="67" t="inlineStr">
        <x:is>
          <x:t xml:space="preserve">事務所家賃</x:t>
        </x:is>
      </x:c>
      <x:c r="B7" s="68" t="n"/>
    </x:row>
    <x:row r="8" s="38" customFormat="1" ht="32.79999923706055" customHeight="1">
      <x:c r="A8" s="67" t="inlineStr">
        <x:is>
          <x:t xml:space="preserve">車両費・リース</x:t>
        </x:is>
      </x:c>
      <x:c r="B8" s="68" t="n"/>
    </x:row>
    <x:row r="9" s="38" customFormat="1" ht="17.149999618530273" customHeight="1">
      <x:c r="A9" s="67" t="inlineStr">
        <x:is>
          <x:t xml:space="preserve">通信・光熱費</x:t>
        </x:is>
      </x:c>
      <x:c r="B9" s="68" t="n"/>
    </x:row>
    <x:row r="10" s="38" customFormat="1" ht="17.149999618530273" customHeight="1">
      <x:c r="A10" s="67" t="inlineStr">
        <x:is>
          <x:t xml:space="preserve">その他固定費</x:t>
        </x:is>
      </x:c>
      <x:c r="B10" s="68" t="n"/>
    </x:row>
    <x:row r="11" s="38" customFormat="1" ht="17.149999618530273" customHeight="1">
      <x:c r="A11" s="69" t="inlineStr">
        <x:is>
          <x:t xml:space="preserve">固定費合計</x:t>
        </x:is>
      </x:c>
      <x:c r="B11" s="70">
        <x:f>SUM(B5:B10)</x:f>
        <x:v>450000</x:v>
      </x:c>
    </x:row>
    <x:row r="13" s="38" customFormat="1" ht="17.149999618530273" customHeight="1">
      <x:c r="A13" s="78" t="inlineStr">
        <x:is>
          <x:t xml:space="preserve">月</x:t>
        </x:is>
      </x:c>
      <x:c r="B13" s="78" t="inlineStr">
        <x:is>
          <x:t xml:space="preserve">売上高</x:t>
        </x:is>
      </x:c>
      <x:c r="C13" s="78" t="inlineStr">
        <x:is>
          <x:t xml:space="preserve">材料費</x:t>
        </x:is>
      </x:c>
      <x:c r="D13" s="78" t="inlineStr">
        <x:is>
          <x:t xml:space="preserve">労務費</x:t>
        </x:is>
      </x:c>
      <x:c r="E13" s="78" t="inlineStr">
        <x:is>
          <x:t xml:space="preserve">外注費</x:t>
        </x:is>
      </x:c>
      <x:c r="F13" s="78" t="inlineStr">
        <x:is>
          <x:t xml:space="preserve">交通費・諸経費</x:t>
        </x:is>
      </x:c>
      <x:c r="G13" s="78" t="inlineStr">
        <x:is>
          <x:t xml:space="preserve">粗利益</x:t>
        </x:is>
      </x:c>
      <x:c r="H13" s="78" t="inlineStr">
        <x:is>
          <x:t xml:space="preserve">粗利率</x:t>
        </x:is>
      </x:c>
      <x:c r="I13" s="78" t="inlineStr">
        <x:is>
          <x:t xml:space="preserve">営業利益</x:t>
        </x:is>
      </x:c>
    </x:row>
    <x:row r="14" s="38" customFormat="1" ht="17.149999618530273" customHeight="1">
      <x:c r="A14" s="71" t="inlineStr">
        <x:is>
          <x:t xml:space="preserve">4月</x:t>
        </x:is>
      </x:c>
      <x:c r="B14" s="79" t="n"/>
      <x:c r="C14" s="79" t="n"/>
      <x:c r="D14" s="79" t="n"/>
      <x:c r="E14" s="79" t="n"/>
      <x:c r="F14" s="79" t="n"/>
      <x:c r="G14" s="86">
        <x:f>B14-SUM(C14:F14)</x:f>
        <x:v>0</x:v>
      </x:c>
      <x:c r="H14" s="53">
        <x:f>IF(B14&gt;0,G14/B14,"")</x:f>
      </x:c>
      <x:c r="I14" s="86">
        <x:f>G14-$B$11</x:f>
        <x:v>-450000</x:v>
      </x:c>
    </x:row>
    <x:row r="15" s="38" customFormat="1" ht="17.149999618530273" customHeight="1">
      <x:c r="A15" s="71" t="inlineStr">
        <x:is>
          <x:t xml:space="preserve">5月</x:t>
        </x:is>
      </x:c>
      <x:c r="B15" s="79" t="n"/>
      <x:c r="C15" s="79" t="n"/>
      <x:c r="D15" s="79" t="n"/>
      <x:c r="E15" s="79" t="n"/>
      <x:c r="F15" s="79" t="n"/>
      <x:c r="G15" s="86">
        <x:f>B15-SUM(C15:F15)</x:f>
        <x:v>0</x:v>
      </x:c>
      <x:c r="H15" s="53">
        <x:f>IF(B15&gt;0,G15/B15,"")</x:f>
      </x:c>
      <x:c r="I15" s="86">
        <x:f>G15-$B$11</x:f>
        <x:v>-450000</x:v>
      </x:c>
    </x:row>
    <x:row r="16" s="38" customFormat="1" ht="17.149999618530273" customHeight="1">
      <x:c r="A16" s="71" t="inlineStr">
        <x:is>
          <x:t xml:space="preserve">6月</x:t>
        </x:is>
      </x:c>
      <x:c r="B16" s="79" t="n"/>
      <x:c r="C16" s="79" t="n"/>
      <x:c r="D16" s="79" t="n"/>
      <x:c r="E16" s="79" t="n"/>
      <x:c r="F16" s="79" t="n"/>
      <x:c r="G16" s="86">
        <x:f>B16-SUM(C16:F16)</x:f>
        <x:v>0</x:v>
      </x:c>
      <x:c r="H16" s="53">
        <x:f>IF(B16&gt;0,G16/B16,"")</x:f>
      </x:c>
      <x:c r="I16" s="86">
        <x:f>G16-$B$11</x:f>
        <x:v>-450000</x:v>
      </x:c>
    </x:row>
    <x:row r="17" s="38" customFormat="1" ht="17.149999618530273" customHeight="1">
      <x:c r="A17" s="71" t="inlineStr">
        <x:is>
          <x:t xml:space="preserve">7月</x:t>
        </x:is>
      </x:c>
      <x:c r="B17" s="79" t="n"/>
      <x:c r="C17" s="79" t="n"/>
      <x:c r="D17" s="79" t="n"/>
      <x:c r="E17" s="79" t="n"/>
      <x:c r="F17" s="79" t="n"/>
      <x:c r="G17" s="86">
        <x:f>B17-SUM(C17:F17)</x:f>
        <x:v>0</x:v>
      </x:c>
      <x:c r="H17" s="53">
        <x:f>IF(B17&gt;0,G17/B17,"")</x:f>
      </x:c>
      <x:c r="I17" s="86">
        <x:f>G17-$B$11</x:f>
        <x:v>-450000</x:v>
      </x:c>
    </x:row>
    <x:row r="18" s="38" customFormat="1" ht="17.149999618530273" customHeight="1">
      <x:c r="A18" s="71" t="inlineStr">
        <x:is>
          <x:t xml:space="preserve">8月</x:t>
        </x:is>
      </x:c>
      <x:c r="B18" s="79" t="n"/>
      <x:c r="C18" s="79" t="n"/>
      <x:c r="D18" s="79" t="n"/>
      <x:c r="E18" s="79" t="n"/>
      <x:c r="F18" s="79" t="n"/>
      <x:c r="G18" s="86">
        <x:f>B18-SUM(C18:F18)</x:f>
        <x:v>0</x:v>
      </x:c>
      <x:c r="H18" s="53">
        <x:f>IF(B18&gt;0,G18/B18,"")</x:f>
      </x:c>
      <x:c r="I18" s="86">
        <x:f>G18-$B$11</x:f>
        <x:v>-450000</x:v>
      </x:c>
    </x:row>
    <x:row r="19" s="38" customFormat="1" ht="17.149999618530273" customHeight="1">
      <x:c r="A19" s="71" t="inlineStr">
        <x:is>
          <x:t xml:space="preserve">9月</x:t>
        </x:is>
      </x:c>
      <x:c r="B19" s="79" t="n"/>
      <x:c r="C19" s="79" t="n"/>
      <x:c r="D19" s="79" t="n"/>
      <x:c r="E19" s="79" t="n"/>
      <x:c r="F19" s="79" t="n"/>
      <x:c r="G19" s="86">
        <x:f>B19-SUM(C19:F19)</x:f>
        <x:v>0</x:v>
      </x:c>
      <x:c r="H19" s="53">
        <x:f>IF(B19&gt;0,G19/B19,"")</x:f>
      </x:c>
      <x:c r="I19" s="86">
        <x:f>G19-$B$11</x:f>
        <x:v>-450000</x:v>
      </x:c>
    </x:row>
    <x:row r="20" s="38" customFormat="1" ht="17.149999618530273" customHeight="1">
      <x:c r="A20" s="71" t="inlineStr">
        <x:is>
          <x:t xml:space="preserve">10月</x:t>
        </x:is>
      </x:c>
      <x:c r="B20" s="79" t="n"/>
      <x:c r="C20" s="79" t="n"/>
      <x:c r="D20" s="79" t="n"/>
      <x:c r="E20" s="79" t="n"/>
      <x:c r="F20" s="79" t="n"/>
      <x:c r="G20" s="86">
        <x:f>B20-SUM(C20:F20)</x:f>
        <x:v>0</x:v>
      </x:c>
      <x:c r="H20" s="53">
        <x:f>IF(B20&gt;0,G20/B20,"")</x:f>
      </x:c>
      <x:c r="I20" s="86">
        <x:f>G20-$B$11</x:f>
        <x:v>-450000</x:v>
      </x:c>
    </x:row>
    <x:row r="21" s="38" customFormat="1" ht="17.149999618530273" customHeight="1">
      <x:c r="A21" s="71" t="inlineStr">
        <x:is>
          <x:t xml:space="preserve">11月</x:t>
        </x:is>
      </x:c>
      <x:c r="B21" s="79" t="n"/>
      <x:c r="C21" s="79" t="n"/>
      <x:c r="D21" s="79" t="n"/>
      <x:c r="E21" s="79" t="n"/>
      <x:c r="F21" s="79" t="n"/>
      <x:c r="G21" s="86">
        <x:f>B21-SUM(C21:F21)</x:f>
        <x:v>0</x:v>
      </x:c>
      <x:c r="H21" s="53">
        <x:f>IF(B21&gt;0,G21/B21,"")</x:f>
      </x:c>
      <x:c r="I21" s="86">
        <x:f>G21-$B$11</x:f>
        <x:v>-450000</x:v>
      </x:c>
    </x:row>
    <x:row r="22" s="38" customFormat="1" ht="17.149999618530273" customHeight="1">
      <x:c r="A22" s="71" t="inlineStr">
        <x:is>
          <x:t xml:space="preserve">12月</x:t>
        </x:is>
      </x:c>
      <x:c r="B22" s="79" t="n"/>
      <x:c r="C22" s="79" t="n"/>
      <x:c r="D22" s="79" t="n"/>
      <x:c r="E22" s="79" t="n"/>
      <x:c r="F22" s="79" t="n"/>
      <x:c r="G22" s="86">
        <x:f>B22-SUM(C22:F22)</x:f>
        <x:v>0</x:v>
      </x:c>
      <x:c r="H22" s="53">
        <x:f>IF(B22&gt;0,G22/B22,"")</x:f>
      </x:c>
      <x:c r="I22" s="86">
        <x:f>G22-$B$11</x:f>
        <x:v>-450000</x:v>
      </x:c>
    </x:row>
    <x:row r="23" s="38" customFormat="1" ht="17.149999618530273" customHeight="1">
      <x:c r="A23" s="71" t="inlineStr">
        <x:is>
          <x:t xml:space="preserve">1月</x:t>
        </x:is>
      </x:c>
      <x:c r="B23" s="79" t="n"/>
      <x:c r="C23" s="79" t="n"/>
      <x:c r="D23" s="79" t="n"/>
      <x:c r="E23" s="79" t="n"/>
      <x:c r="F23" s="79" t="n"/>
      <x:c r="G23" s="86">
        <x:f>B23-SUM(C23:F23)</x:f>
        <x:v>0</x:v>
      </x:c>
      <x:c r="H23" s="53">
        <x:f>IF(B23&gt;0,G23/B23,"")</x:f>
      </x:c>
      <x:c r="I23" s="86">
        <x:f>G23-$B$11</x:f>
        <x:v>-450000</x:v>
      </x:c>
    </x:row>
    <x:row r="24" s="38" customFormat="1" ht="17.149999618530273" customHeight="1">
      <x:c r="A24" s="71" t="inlineStr">
        <x:is>
          <x:t xml:space="preserve">2月</x:t>
        </x:is>
      </x:c>
      <x:c r="B24" s="79" t="n"/>
      <x:c r="C24" s="79" t="n"/>
      <x:c r="D24" s="79" t="n"/>
      <x:c r="E24" s="79" t="n"/>
      <x:c r="F24" s="79" t="n"/>
      <x:c r="G24" s="86">
        <x:f>B24-SUM(C24:F24)</x:f>
        <x:v>0</x:v>
      </x:c>
      <x:c r="H24" s="53">
        <x:f>IF(B24&gt;0,G24/B24,"")</x:f>
      </x:c>
      <x:c r="I24" s="86">
        <x:f>G24-$B$11</x:f>
        <x:v>-450000</x:v>
      </x:c>
    </x:row>
    <x:row r="25" s="38" customFormat="1" ht="17.149999618530273" customHeight="1">
      <x:c r="A25" s="71" t="inlineStr">
        <x:is>
          <x:t xml:space="preserve">3月</x:t>
        </x:is>
      </x:c>
      <x:c r="B25" s="79" t="n"/>
      <x:c r="C25" s="79" t="n"/>
      <x:c r="D25" s="79" t="n"/>
      <x:c r="E25" s="79" t="n"/>
      <x:c r="F25" s="79" t="n"/>
      <x:c r="G25" s="86">
        <x:f>B25-SUM(C25:F25)</x:f>
        <x:v>0</x:v>
      </x:c>
      <x:c r="H25" s="53">
        <x:f>IF(B25&gt;0,G25/B25,"")</x:f>
      </x:c>
      <x:c r="I25" s="86">
        <x:f>G25-$B$11</x:f>
        <x:v>-450000</x:v>
      </x:c>
    </x:row>
    <x:row r="26" s="38" customFormat="1" ht="17.149999618530273" customHeight="1">
      <x:c r="A26" s="78" t="inlineStr">
        <x:is>
          <x:t xml:space="preserve">年間合計</x:t>
        </x:is>
      </x:c>
      <x:c r="B26" s="57">
        <x:f>SUM(B14:B25)</x:f>
        <x:v>0</x:v>
      </x:c>
      <x:c r="C26" s="57">
        <x:f>SUM(C14:C25)</x:f>
        <x:v>0</x:v>
      </x:c>
      <x:c r="D26" s="57">
        <x:f>SUM(D14:D25)</x:f>
        <x:v>0</x:v>
      </x:c>
      <x:c r="E26" s="57">
        <x:f>SUM(E14:E25)</x:f>
        <x:v>0</x:v>
      </x:c>
      <x:c r="F26" s="57">
        <x:f>SUM(F14:F25)</x:f>
        <x:v>0</x:v>
      </x:c>
      <x:c r="G26" s="57">
        <x:f>SUM(G14:G25)</x:f>
        <x:v>0</x:v>
      </x:c>
      <x:c r="H26" s="58">
        <x:f>IF(B26&gt;0,G26/B26,"")</x:f>
      </x:c>
      <x:c r="I26" s="57">
        <x:f>SUM(I14:I25)</x:f>
        <x:v>-5400000</x:v>
      </x:c>
    </x:row>
    <x:row r="28" s="38" customFormat="1" ht="14.149999618530273" customHeight="1">
      <x:c r="A28" s="60" t="inlineStr">
        <x:is>
          <x:t xml:space="preserve">【読み方】営業利益 = 粗利益 − 月額固定費。マイナスなら「その月は固定費を賄えていない」状態です。</x:t>
        </x:is>
      </x:c>
    </x:row>
  </x:sheetData>
  <x:mergeCells>
    <x:mergeCell ref="A1:I1"/>
    <x:mergeCell ref="A28:I28"/>
    <x:mergeCell ref="A2:I2"/>
  </x:mergeCells>
  <x:conditionalFormatting sqref="I14:I25">
    <x:cfRule type="cellIs" dxfId="0" priority="2" operator="lessThan">
      <x:formula>0</x:formula>
    </x:cfRule>
    <x:cfRule type="cellIs" dxfId="1" priority="3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B7280"/>
  </x:sheetPr>
  <x:sheetViews>
    <x:sheetView showGridLines="1" workbookViewId="0"/>
  </x:sheetViews>
  <x:sheetFormatPr baseColWidth="8" defaultColWidth="8.6796875" defaultRowHeight="15"/>
  <x:cols>
    <x:col min="1" max="1" width="3" style="37" customWidth="1"/>
    <x:col min="2" max="2" width="18" style="37" customWidth="1"/>
    <x:col min="3" max="3" width="50" style="37" customWidth="1"/>
    <x:col min="4" max="4" width="30" style="37" customWidth="1"/>
  </x:cols>
  <x:sheetData>
    <x:row r="1" s="38" customFormat="1" ht="36" customHeight="1">
      <x:c r="A1" s="76" t="inlineStr">
        <x:is>
          <x:t xml:space="preserve">記入ガイド</x:t>
        </x:is>
      </x:c>
    </x:row>
    <x:row r="3" s="38" customFormat="1" ht="27.75" customHeight="1">
      <x:c r="A3" s="44" t="n"/>
      <x:c r="B3" s="78" t="inlineStr">
        <x:is>
          <x:t xml:space="preserve">項目</x:t>
        </x:is>
      </x:c>
      <x:c r="C3" s="78" t="inlineStr">
        <x:is>
          <x:t xml:space="preserve">何を書くか</x:t>
        </x:is>
      </x:c>
      <x:c r="D3" s="78" t="inlineStr">
        <x:is>
          <x:t xml:space="preserve">迷ったときは</x:t>
        </x:is>
      </x:c>
    </x:row>
    <x:row r="4" s="38" customFormat="1" ht="27.75" customHeight="1">
      <x:c r="A4" s="48" t="inlineStr">
        <x:is>
          <x:t xml:space="preserve">1</x:t>
        </x:is>
      </x:c>
      <x:c r="B4" s="72" t="inlineStr">
        <x:is>
          <x:t xml:space="preserve">工事名</x:t>
        </x:is>
      </x:c>
      <x:c r="C4" s="67" t="inlineStr">
        <x:is>
          <x:t xml:space="preserve">現場名や建物名。例：「○○マンション新築3F配管」</x:t>
        </x:is>
      </x:c>
      <x:c r="D4" s="73" t="inlineStr">
        <x:is>
          <x:t xml:space="preserve">元請からの注文書の件名をそのまま書く</x:t>
        </x:is>
      </x:c>
    </x:row>
    <x:row r="5" s="38" customFormat="1" ht="27.75" customHeight="1">
      <x:c r="A5" s="48" t="inlineStr">
        <x:is>
          <x:t xml:space="preserve">2</x:t>
        </x:is>
      </x:c>
      <x:c r="B5" s="72" t="inlineStr">
        <x:is>
          <x:t xml:space="preserve">取引先</x:t>
        </x:is>
      </x:c>
      <x:c r="C5" s="67" t="inlineStr">
        <x:is>
          <x:t xml:space="preserve">元請のサブコン名。例：「□□設備工業」</x:t>
        </x:is>
      </x:c>
      <x:c r="D5" s="73" t="inlineStr">
        <x:is>
          <x:t xml:space="preserve">請求書の宛先と同じ</x:t>
        </x:is>
      </x:c>
    </x:row>
    <x:row r="6" s="38" customFormat="1" ht="27.75" customHeight="1">
      <x:c r="A6" s="48" t="inlineStr">
        <x:is>
          <x:t xml:space="preserve">3</x:t>
        </x:is>
      </x:c>
      <x:c r="B6" s="72" t="inlineStr">
        <x:is>
          <x:t xml:space="preserve">工事種別</x:t>
        </x:is>
      </x:c>
      <x:c r="C6" s="67" t="inlineStr">
        <x:is>
          <x:t xml:space="preserve">「新築」か「改修」を書く</x:t>
        </x:is>
      </x:c>
      <x:c r="D6" s="73" t="inlineStr">
        <x:is>
          <x:t xml:space="preserve">迷ったら現場に聞く</x:t>
        </x:is>
      </x:c>
    </x:row>
    <x:row r="7" s="38" customFormat="1" ht="27.75" customHeight="1">
      <x:c r="A7" s="48" t="inlineStr">
        <x:is>
          <x:t xml:space="preserve">4</x:t>
        </x:is>
      </x:c>
      <x:c r="B7" s="72" t="inlineStr">
        <x:is>
          <x:t xml:space="preserve">請負金額</x:t>
        </x:is>
      </x:c>
      <x:c r="C7" s="67" t="inlineStr">
        <x:is>
          <x:t xml:space="preserve">元請から受ける金額（税抜）</x:t>
        </x:is>
      </x:c>
      <x:c r="D7" s="73" t="inlineStr">
        <x:is>
          <x:t xml:space="preserve">注文書・契約書の金額</x:t>
        </x:is>
      </x:c>
    </x:row>
    <x:row r="8" s="38" customFormat="1" ht="27.75" customHeight="1">
      <x:c r="A8" s="48" t="inlineStr">
        <x:is>
          <x:t xml:space="preserve">5</x:t>
        </x:is>
      </x:c>
      <x:c r="B8" s="72" t="inlineStr">
        <x:is>
          <x:t xml:space="preserve">材料費</x:t>
        </x:is>
      </x:c>
      <x:c r="C8" s="67" t="inlineStr">
        <x:is>
          <x:t xml:space="preserve">その工事で使った材料の合計（税抜）</x:t>
        </x:is>
      </x:c>
      <x:c r="D8" s="73" t="inlineStr">
        <x:is>
          <x:t xml:space="preserve">材料屋の納品書・請求書を集計</x:t>
        </x:is>
      </x:c>
    </x:row>
    <x:row r="9" s="38" customFormat="1" ht="27.75" customHeight="1">
      <x:c r="A9" s="48" t="inlineStr">
        <x:is>
          <x:t xml:space="preserve">6</x:t>
        </x:is>
      </x:c>
      <x:c r="B9" s="72" t="inlineStr">
        <x:is>
          <x:t xml:space="preserve">労務費</x:t>
        </x:is>
      </x:c>
      <x:c r="C9" s="67" t="inlineStr">
        <x:is>
          <x:t xml:space="preserve">労務費計算シートで計算した金額を転記</x:t>
        </x:is>
      </x:c>
      <x:c r="D9" s="73" t="inlineStr">
        <x:is>
          <x:t xml:space="preserve">シート2で自動計算される</x:t>
        </x:is>
      </x:c>
    </x:row>
    <x:row r="10" s="38" customFormat="1" ht="27.75" customHeight="1">
      <x:c r="A10" s="48" t="inlineStr">
        <x:is>
          <x:t xml:space="preserve">7</x:t>
        </x:is>
      </x:c>
      <x:c r="B10" s="72" t="inlineStr">
        <x:is>
          <x:t xml:space="preserve">外注費</x:t>
        </x:is>
      </x:c>
      <x:c r="C10" s="67" t="inlineStr">
        <x:is>
          <x:t xml:space="preserve">応援や下請に払った金額（税抜）</x:t>
        </x:is>
      </x:c>
      <x:c r="D10" s="73" t="inlineStr">
        <x:is>
          <x:t xml:space="preserve">外注先への支払い</x:t>
        </x:is>
      </x:c>
    </x:row>
    <x:row r="11" s="38" customFormat="1" ht="27.75" customHeight="1">
      <x:c r="A11" s="48" t="inlineStr">
        <x:is>
          <x:t xml:space="preserve">8</x:t>
        </x:is>
      </x:c>
      <x:c r="B11" s="72" t="inlineStr">
        <x:is>
          <x:t xml:space="preserve">交通費</x:t>
        </x:is>
      </x:c>
      <x:c r="C11" s="67" t="inlineStr">
        <x:is>
          <x:t xml:space="preserve">高速代・駐車場代・ガソリン代</x:t>
        </x:is>
      </x:c>
      <x:c r="D11" s="74" t="inlineStr">
        <x:is>
          <x:t xml:space="preserve">ETCの明細や領収書から</x:t>
        </x:is>
      </x:c>
    </x:row>
    <x:row r="12" s="38" customFormat="1" ht="27.75" customHeight="1">
      <x:c r="A12" s="48" t="inlineStr">
        <x:is>
          <x:t xml:space="preserve">9</x:t>
        </x:is>
      </x:c>
      <x:c r="B12" s="72" t="inlineStr">
        <x:is>
          <x:t xml:space="preserve">諸経費</x:t>
        </x:is>
      </x:c>
      <x:c r="C12" s="67" t="inlineStr">
        <x:is>
          <x:t xml:space="preserve">消耗品・弁当代・その他</x:t>
        </x:is>
      </x:c>
      <x:c r="D12" s="73" t="inlineStr">
        <x:is>
          <x:t xml:space="preserve">少額なら概算でOK</x:t>
        </x:is>
      </x:c>
    </x:row>
    <x:row r="13" s="38" customFormat="1" ht="27.75" customHeight="1">
      <x:c r="A13" s="48" t="inlineStr">
        <x:is>
          <x:t xml:space="preserve">10</x:t>
        </x:is>
      </x:c>
      <x:c r="B13" s="72" t="inlineStr">
        <x:is>
          <x:t xml:space="preserve">粗利率の目安</x:t>
        </x:is>
      </x:c>
      <x:c r="C13" s="75" t="inlineStr">
        <x:is>
          <x:t xml:space="preserve">20%以上＝健全、15%未満＝要注意、マイナス＝赤字</x:t>
        </x:is>
      </x:c>
      <x:c r="D13" s="73" t="inlineStr">
        <x:is>
          <x:t xml:space="preserve">赤くなった工事は要因を備考に書く</x:t>
        </x:is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2563EB"/>
  </x:sheetPr>
  <x:sheetViews>
    <x:sheetView showGridLines="0" workbookViewId="0"/>
  </x:sheetViews>
  <x:sheetFormatPr baseColWidth="8" defaultRowHeight="15"/>
  <x:cols>
    <x:col min="1" max="1" width="5" style="38" customWidth="1"/>
    <x:col min="2" max="2" width="14" style="38" customWidth="1"/>
    <x:col min="3" max="3" width="16" style="38" customWidth="1"/>
    <x:col min="4" max="4" width="16" style="38" customWidth="1"/>
    <x:col min="5" max="5" width="16" style="38" customWidth="1"/>
    <x:col min="6" max="6" width="10" style="38" customWidth="1"/>
    <x:col min="7" max="7" width="10" style="38" customWidth="1"/>
    <x:col min="8" max="8" width="14" style="38" customWidth="1"/>
    <x:col min="9" max="9" width="8" style="38" customWidth="1"/>
    <x:col min="10" max="10" width="12" style="38" customWidth="1"/>
    <x:col min="11" max="11" width="10" style="38" customWidth="1"/>
    <x:col min="12" max="12" width="12" style="38" customWidth="1"/>
    <x:col min="13" max="13" width="14" style="38" customWidth="1"/>
  </x:cols>
  <x:sheetData>
    <x:row r="1" s="38" customFormat="1" ht="36" customHeight="1">
      <x:c r="A1" s="76" t="inlineStr">
        <x:is>
          <x:t xml:space="preserve">歩掛テーブル（配管拾い→見積の最小構成）</x:t>
        </x:is>
      </x:c>
    </x:row>
    <x:row r="2" s="38" customFormat="1" ht="22" customHeight="1">
      <x:c r="A2" s="77" t="inlineStr">
        <x:is>
          <x:t xml:space="preserve">青字セルに自社の標準歩掛を入力してください。HTMLのCSV出力と項目名を合わせておくと、Excel集計だけで十分運用できます。仮値例は差し替え前提です。</x:t>
        </x:is>
      </x:c>
    </x:row>
    <x:row r="4" s="38" customFormat="1" ht="22" customHeight="1">
      <x:c r="B4" s="78" t="inlineStr">
        <x:is>
          <x:t xml:space="preserve">標準日当単価</x:t>
        </x:is>
      </x:c>
      <x:c r="C4" s="79">
        <x:f>'労務費計算'!C4</x:f>
        <x:v>25000</x:v>
      </x:c>
      <x:c r="D4" s="77" t="inlineStr">
        <x:is>
          <x:t xml:space="preserve">※ 労務費計算シートと連動</x:t>
        </x:is>
      </x:c>
    </x:row>
    <x:row r="6" s="38" customFormat="1" ht="30" customHeight="1">
      <x:c r="A6" s="78" t="inlineStr">
        <x:is>
          <x:t xml:space="preserve">No.</x:t>
        </x:is>
      </x:c>
      <x:c r="B6" s="78" t="inlineStr">
        <x:is>
          <x:t xml:space="preserve">工種カテゴリ</x:t>
        </x:is>
      </x:c>
      <x:c r="C6" s="78" t="inlineStr">
        <x:is>
          <x:t xml:space="preserve">工種詳細</x:t>
        </x:is>
      </x:c>
      <x:c r="D6" s="78" t="inlineStr">
        <x:is>
          <x:t xml:space="preserve">系統</x:t>
        </x:is>
      </x:c>
      <x:c r="E6" s="78" t="inlineStr">
        <x:is>
          <x:t xml:space="preserve">管種</x:t>
        </x:is>
      </x:c>
      <x:c r="F6" s="78" t="inlineStr">
        <x:is>
          <x:t xml:space="preserve">口径</x:t>
        </x:is>
      </x:c>
      <x:c r="G6" s="78" t="inlineStr">
        <x:is>
          <x:t xml:space="preserve">方向</x:t>
        </x:is>
      </x:c>
      <x:c r="H6" s="78" t="inlineStr">
        <x:is>
          <x:t xml:space="preserve">施工場所</x:t>
        </x:is>
      </x:c>
      <x:c r="I6" s="78" t="inlineStr">
        <x:is>
          <x:t xml:space="preserve">単位</x:t>
        </x:is>
      </x:c>
      <x:c r="J6" s="78" t="inlineStr">
        <x:is>
          <x:t xml:space="preserve">標準歩掛</x:t>
        </x:is>
      </x:c>
      <x:c r="K6" s="78" t="inlineStr">
        <x:is>
          <x:t xml:space="preserve">補正係数</x:t>
        </x:is>
      </x:c>
      <x:c r="L6" s="78" t="inlineStr">
        <x:is>
          <x:t xml:space="preserve">実行歩掛</x:t>
        </x:is>
      </x:c>
      <x:c r="M6" s="78" t="inlineStr">
        <x:is>
          <x:t xml:space="preserve">参考労務費/単位</x:t>
        </x:is>
      </x:c>
    </x:row>
    <x:row r="7" s="38" customFormat="1" ht="22" customHeight="1">
      <x:c r="A7" s="80" t="inlineStr">
        <x:is>
          <x:t xml:space="preserve"/>
        </x:is>
      </x:c>
      <x:c r="B7" s="80" t="inlineStr">
        <x:is>
          <x:t xml:space="preserve">直管/継手/バルブ等</x:t>
        </x:is>
      </x:c>
      <x:c r="C7" s="80" t="inlineStr">
        <x:is>
          <x:t xml:space="preserve">例: 横引き直管、エルボ、チーズ、ガス栓</x:t>
        </x:is>
      </x:c>
      <x:c r="D7" s="80" t="inlineStr">
        <x:is>
          <x:t xml:space="preserve">HTMLの系統名に合わせる</x:t>
        </x:is>
      </x:c>
      <x:c r="E7" s="80" t="inlineStr">
        <x:is>
          <x:t xml:space="preserve">HTMLの管種に合わせる</x:t>
        </x:is>
      </x:c>
      <x:c r="F7" s="80" t="inlineStr">
        <x:is>
          <x:t xml:space="preserve">A呼称</x:t>
        </x:is>
      </x:c>
      <x:c r="G7" s="80" t="inlineStr">
        <x:is>
          <x:t xml:space="preserve">横引き/立上り/立下り</x:t>
        </x:is>
      </x:c>
      <x:c r="H7" s="80" t="inlineStr">
        <x:is>
          <x:t xml:space="preserve">屋内露出など</x:t>
        </x:is>
      </x:c>
      <x:c r="I7" s="80" t="inlineStr">
        <x:is>
          <x:t xml:space="preserve">m/個/箇所</x:t>
        </x:is>
      </x:c>
      <x:c r="J7" s="80" t="inlineStr">
        <x:is>
          <x:t xml:space="preserve">人工/単位</x:t>
        </x:is>
      </x:c>
      <x:c r="K7" s="80" t="inlineStr">
        <x:is>
          <x:t xml:space="preserve">現場補正</x:t>
        </x:is>
      </x:c>
      <x:c r="L7" s="80" t="inlineStr">
        <x:is>
          <x:t xml:space="preserve">'=標準歩掛×補正係数</x:t>
        </x:is>
      </x:c>
      <x:c r="M7" s="80" t="inlineStr">
        <x:is>
          <x:t xml:space="preserve">'=実行歩掛×日当</x:t>
        </x:is>
      </x:c>
    </x:row>
    <x:row r="8">
      <x:c r="A8" s="81" t="n">
        <x:v>1</x:v>
      </x:c>
      <x:c r="B8" s="82" t="inlineStr">
        <x:is>
          <x:t xml:space="preserve">直管</x:t>
        </x:is>
      </x:c>
      <x:c r="C8" s="82" t="inlineStr">
        <x:is>
          <x:t xml:space="preserve">横引き直管</x:t>
        </x:is>
      </x:c>
      <x:c r="D8" s="82" t="inlineStr">
        <x:is>
          <x:t xml:space="preserve">ガス配管</x:t>
        </x:is>
      </x:c>
      <x:c r="E8" s="82" t="inlineStr">
        <x:is>
          <x:t xml:space="preserve">SGP（白）</x:t>
        </x:is>
      </x:c>
      <x:c r="F8" s="83" t="inlineStr">
        <x:is>
          <x:t xml:space="preserve">20A</x:t>
        </x:is>
      </x:c>
      <x:c r="G8" s="83" t="inlineStr">
        <x:is>
          <x:t xml:space="preserve">横引き</x:t>
        </x:is>
      </x:c>
      <x:c r="H8" s="82" t="inlineStr">
        <x:is>
          <x:t xml:space="preserve">屋内露出</x:t>
        </x:is>
      </x:c>
      <x:c r="I8" s="83" t="inlineStr">
        <x:is>
          <x:t xml:space="preserve">m</x:t>
        </x:is>
      </x:c>
      <x:c r="J8" s="84" t="n">
        <x:v>0.08</x:v>
      </x:c>
      <x:c r="K8" s="84" t="n">
        <x:v>1</x:v>
      </x:c>
      <x:c r="L8" s="85">
        <x:f>J8*K8</x:f>
        <x:v>0.08</x:v>
      </x:c>
      <x:c r="M8" s="86">
        <x:f>L8*$C$4</x:f>
        <x:v>2000</x:v>
      </x:c>
    </x:row>
    <x:row r="9">
      <x:c r="A9" s="81" t="n">
        <x:v>2</x:v>
      </x:c>
      <x:c r="B9" s="82" t="inlineStr">
        <x:is>
          <x:t xml:space="preserve">直管</x:t>
        </x:is>
      </x:c>
      <x:c r="C9" s="82" t="inlineStr">
        <x:is>
          <x:t xml:space="preserve">立上り直管</x:t>
        </x:is>
      </x:c>
      <x:c r="D9" s="82" t="inlineStr">
        <x:is>
          <x:t xml:space="preserve">ガス配管</x:t>
        </x:is>
      </x:c>
      <x:c r="E9" s="82" t="inlineStr">
        <x:is>
          <x:t xml:space="preserve">SGP（白）</x:t>
        </x:is>
      </x:c>
      <x:c r="F9" s="83" t="inlineStr">
        <x:is>
          <x:t xml:space="preserve">20A</x:t>
        </x:is>
      </x:c>
      <x:c r="G9" s="83" t="inlineStr">
        <x:is>
          <x:t xml:space="preserve">立上り</x:t>
        </x:is>
      </x:c>
      <x:c r="H9" s="82" t="inlineStr">
        <x:is>
          <x:t xml:space="preserve">屋内露出</x:t>
        </x:is>
      </x:c>
      <x:c r="I9" s="83" t="inlineStr">
        <x:is>
          <x:t xml:space="preserve">m</x:t>
        </x:is>
      </x:c>
      <x:c r="J9" s="84" t="n">
        <x:v>0.1</x:v>
      </x:c>
      <x:c r="K9" s="84" t="n">
        <x:v>1</x:v>
      </x:c>
      <x:c r="L9" s="85">
        <x:f>J9*K9</x:f>
        <x:v>0.1</x:v>
      </x:c>
      <x:c r="M9" s="86">
        <x:f>L9*$C$4</x:f>
        <x:v>2500</x:v>
      </x:c>
    </x:row>
    <x:row r="10">
      <x:c r="A10" s="81" t="n">
        <x:v>3</x:v>
      </x:c>
      <x:c r="B10" s="82" t="inlineStr">
        <x:is>
          <x:t xml:space="preserve">直管</x:t>
        </x:is>
      </x:c>
      <x:c r="C10" s="82" t="inlineStr">
        <x:is>
          <x:t xml:space="preserve">立下り直管</x:t>
        </x:is>
      </x:c>
      <x:c r="D10" s="82" t="inlineStr">
        <x:is>
          <x:t xml:space="preserve">ガス配管</x:t>
        </x:is>
      </x:c>
      <x:c r="E10" s="82" t="inlineStr">
        <x:is>
          <x:t xml:space="preserve">SGP（白）</x:t>
        </x:is>
      </x:c>
      <x:c r="F10" s="83" t="inlineStr">
        <x:is>
          <x:t xml:space="preserve">20A</x:t>
        </x:is>
      </x:c>
      <x:c r="G10" s="83" t="inlineStr">
        <x:is>
          <x:t xml:space="preserve">立下り</x:t>
        </x:is>
      </x:c>
      <x:c r="H10" s="82" t="inlineStr">
        <x:is>
          <x:t xml:space="preserve">屋内露出</x:t>
        </x:is>
      </x:c>
      <x:c r="I10" s="83" t="inlineStr">
        <x:is>
          <x:t xml:space="preserve">m</x:t>
        </x:is>
      </x:c>
      <x:c r="J10" s="84" t="n">
        <x:v>0.09</x:v>
      </x:c>
      <x:c r="K10" s="84" t="n">
        <x:v>1</x:v>
      </x:c>
      <x:c r="L10" s="85">
        <x:f>J10*K10</x:f>
        <x:v>0.09</x:v>
      </x:c>
      <x:c r="M10" s="86">
        <x:f>L10*$C$4</x:f>
        <x:v>2250</x:v>
      </x:c>
    </x:row>
    <x:row r="11">
      <x:c r="A11" s="81" t="n">
        <x:v>4</x:v>
      </x:c>
      <x:c r="B11" s="82" t="inlineStr">
        <x:is>
          <x:t xml:space="preserve">継手</x:t>
        </x:is>
      </x:c>
      <x:c r="C11" s="82" t="inlineStr">
        <x:is>
          <x:t xml:space="preserve">エルボ</x:t>
        </x:is>
      </x:c>
      <x:c r="D11" s="82" t="inlineStr">
        <x:is>
          <x:t xml:space="preserve">ガス配管</x:t>
        </x:is>
      </x:c>
      <x:c r="E11" s="82" t="inlineStr">
        <x:is>
          <x:t xml:space="preserve">SGP（白）</x:t>
        </x:is>
      </x:c>
      <x:c r="F11" s="83" t="inlineStr">
        <x:is>
          <x:t xml:space="preserve">20A</x:t>
        </x:is>
      </x:c>
      <x:c r="G11" s="83" t="inlineStr">
        <x:is>
          <x:t xml:space="preserve">-</x:t>
        </x:is>
      </x:c>
      <x:c r="H11" s="82" t="inlineStr">
        <x:is>
          <x:t xml:space="preserve">屋内露出</x:t>
        </x:is>
      </x:c>
      <x:c r="I11" s="83" t="inlineStr">
        <x:is>
          <x:t xml:space="preserve">個</x:t>
        </x:is>
      </x:c>
      <x:c r="J11" s="84" t="n">
        <x:v>0.2</x:v>
      </x:c>
      <x:c r="K11" s="84" t="n">
        <x:v>1</x:v>
      </x:c>
      <x:c r="L11" s="85">
        <x:f>J11*K11</x:f>
        <x:v>0.2</x:v>
      </x:c>
      <x:c r="M11" s="86">
        <x:f>L11*$C$4</x:f>
        <x:v>5000</x:v>
      </x:c>
    </x:row>
    <x:row r="12">
      <x:c r="A12" s="81" t="n">
        <x:v>5</x:v>
      </x:c>
      <x:c r="B12" s="82" t="inlineStr">
        <x:is>
          <x:t xml:space="preserve">継手</x:t>
        </x:is>
      </x:c>
      <x:c r="C12" s="82" t="inlineStr">
        <x:is>
          <x:t xml:space="preserve">チーズ</x:t>
        </x:is>
      </x:c>
      <x:c r="D12" s="82" t="inlineStr">
        <x:is>
          <x:t xml:space="preserve">ガス配管</x:t>
        </x:is>
      </x:c>
      <x:c r="E12" s="82" t="inlineStr">
        <x:is>
          <x:t xml:space="preserve">SGP（白）</x:t>
        </x:is>
      </x:c>
      <x:c r="F12" s="83" t="inlineStr">
        <x:is>
          <x:t xml:space="preserve">20A</x:t>
        </x:is>
      </x:c>
      <x:c r="G12" s="83" t="inlineStr">
        <x:is>
          <x:t xml:space="preserve">-</x:t>
        </x:is>
      </x:c>
      <x:c r="H12" s="82" t="inlineStr">
        <x:is>
          <x:t xml:space="preserve">屋内露出</x:t>
        </x:is>
      </x:c>
      <x:c r="I12" s="83" t="inlineStr">
        <x:is>
          <x:t xml:space="preserve">個</x:t>
        </x:is>
      </x:c>
      <x:c r="J12" s="84" t="n">
        <x:v>0.35</x:v>
      </x:c>
      <x:c r="K12" s="84" t="n">
        <x:v>1</x:v>
      </x:c>
      <x:c r="L12" s="85">
        <x:f>J12*K12</x:f>
        <x:v>0.35</x:v>
      </x:c>
      <x:c r="M12" s="86">
        <x:f>L12*$C$4</x:f>
        <x:v>8750</x:v>
      </x:c>
    </x:row>
    <x:row r="13">
      <x:c r="A13" s="81" t="n">
        <x:v>6</x:v>
      </x:c>
      <x:c r="B13" s="82" t="inlineStr">
        <x:is>
          <x:t xml:space="preserve">バルブ</x:t>
        </x:is>
      </x:c>
      <x:c r="C13" s="82" t="inlineStr">
        <x:is>
          <x:t xml:space="preserve">ガス栓</x:t>
        </x:is>
      </x:c>
      <x:c r="D13" s="82" t="inlineStr">
        <x:is>
          <x:t xml:space="preserve">ガス配管</x:t>
        </x:is>
      </x:c>
      <x:c r="E13" s="82" t="inlineStr">
        <x:is>
          <x:t xml:space="preserve">SGP（白）</x:t>
        </x:is>
      </x:c>
      <x:c r="F13" s="83" t="inlineStr">
        <x:is>
          <x:t xml:space="preserve">20A</x:t>
        </x:is>
      </x:c>
      <x:c r="G13" s="83" t="inlineStr">
        <x:is>
          <x:t xml:space="preserve">-</x:t>
        </x:is>
      </x:c>
      <x:c r="H13" s="82" t="inlineStr">
        <x:is>
          <x:t xml:space="preserve">屋内露出</x:t>
        </x:is>
      </x:c>
      <x:c r="I13" s="83" t="inlineStr">
        <x:is>
          <x:t xml:space="preserve">個</x:t>
        </x:is>
      </x:c>
      <x:c r="J13" s="84" t="n">
        <x:v>0.3</x:v>
      </x:c>
      <x:c r="K13" s="84" t="n">
        <x:v>1</x:v>
      </x:c>
      <x:c r="L13" s="85">
        <x:f>J13*K13</x:f>
        <x:v>0.3</x:v>
      </x:c>
      <x:c r="M13" s="86">
        <x:f>L13*$C$4</x:f>
        <x:v>7500</x:v>
      </x:c>
    </x:row>
    <x:row r="14">
      <x:c r="A14" s="81" t="n">
        <x:v>7</x:v>
      </x:c>
      <x:c r="B14" s="82" t="inlineStr">
        <x:is>
          <x:t xml:space="preserve">機器接続</x:t>
        </x:is>
      </x:c>
      <x:c r="C14" s="82" t="inlineStr">
        <x:is>
          <x:t xml:space="preserve">給湯器接続</x:t>
        </x:is>
      </x:c>
      <x:c r="D14" s="82" t="inlineStr">
        <x:is>
          <x:t xml:space="preserve">ガス配管</x:t>
        </x:is>
      </x:c>
      <x:c r="E14" s="82" t="inlineStr">
        <x:is>
          <x:t xml:space="preserve">フレキ管</x:t>
        </x:is>
      </x:c>
      <x:c r="F14" s="83" t="inlineStr">
        <x:is>
          <x:t xml:space="preserve">20A</x:t>
        </x:is>
      </x:c>
      <x:c r="G14" s="83" t="inlineStr">
        <x:is>
          <x:t xml:space="preserve">-</x:t>
        </x:is>
      </x:c>
      <x:c r="H14" s="82" t="inlineStr">
        <x:is>
          <x:t xml:space="preserve">屋内露出</x:t>
        </x:is>
      </x:c>
      <x:c r="I14" s="83" t="inlineStr">
        <x:is>
          <x:t xml:space="preserve">箇所</x:t>
        </x:is>
      </x:c>
      <x:c r="J14" s="84" t="n">
        <x:v>0.45</x:v>
      </x:c>
      <x:c r="K14" s="84" t="n">
        <x:v>1</x:v>
      </x:c>
      <x:c r="L14" s="85">
        <x:f>J14*K14</x:f>
        <x:v>0.45</x:v>
      </x:c>
      <x:c r="M14" s="86">
        <x:f>L14*$C$4</x:f>
        <x:v>11250</x:v>
      </x:c>
    </x:row>
    <x:row r="15">
      <x:c r="A15" s="81" t="n"/>
      <x:c r="B15" s="82" t="n"/>
      <x:c r="C15" s="82" t="n"/>
      <x:c r="D15" s="82" t="n"/>
      <x:c r="E15" s="82" t="n"/>
      <x:c r="F15" s="83" t="n"/>
      <x:c r="G15" s="83" t="n"/>
      <x:c r="H15" s="82" t="n"/>
      <x:c r="I15" s="83" t="n"/>
      <x:c r="J15" s="84" t="n"/>
      <x:c r="K15" s="84" t="n"/>
      <x:c r="L15" s="85">
        <x:f>IF(OR(J15="",K15=""),"",J15*K15)</x:f>
      </x:c>
      <x:c r="M15" s="86">
        <x:f>IF(L15="","",L15*$C$4)</x:f>
      </x:c>
    </x:row>
    <x:row r="16">
      <x:c r="A16" s="81" t="n"/>
      <x:c r="B16" s="82" t="n"/>
      <x:c r="C16" s="82" t="n"/>
      <x:c r="D16" s="82" t="n"/>
      <x:c r="E16" s="82" t="n"/>
      <x:c r="F16" s="83" t="n"/>
      <x:c r="G16" s="83" t="n"/>
      <x:c r="H16" s="82" t="n"/>
      <x:c r="I16" s="83" t="n"/>
      <x:c r="J16" s="84" t="n"/>
      <x:c r="K16" s="84" t="n"/>
      <x:c r="L16" s="85">
        <x:f>IF(OR(J16="",K16=""),"",J16*K16)</x:f>
      </x:c>
      <x:c r="M16" s="86">
        <x:f>IF(L16="","",L16*$C$4)</x:f>
      </x:c>
    </x:row>
    <x:row r="17">
      <x:c r="A17" s="81" t="n"/>
      <x:c r="B17" s="82" t="n"/>
      <x:c r="C17" s="82" t="n"/>
      <x:c r="D17" s="82" t="n"/>
      <x:c r="E17" s="82" t="n"/>
      <x:c r="F17" s="83" t="n"/>
      <x:c r="G17" s="83" t="n"/>
      <x:c r="H17" s="82" t="n"/>
      <x:c r="I17" s="83" t="n"/>
      <x:c r="J17" s="84" t="n"/>
      <x:c r="K17" s="84" t="n"/>
      <x:c r="L17" s="85">
        <x:f>IF(OR(J17="",K17=""),"",J17*K17)</x:f>
      </x:c>
      <x:c r="M17" s="86">
        <x:f>IF(L17="","",L17*$C$4)</x:f>
      </x:c>
    </x:row>
    <x:row r="18">
      <x:c r="A18" s="81" t="n"/>
      <x:c r="B18" s="82" t="n"/>
      <x:c r="C18" s="82" t="n"/>
      <x:c r="D18" s="82" t="n"/>
      <x:c r="E18" s="82" t="n"/>
      <x:c r="F18" s="83" t="n"/>
      <x:c r="G18" s="83" t="n"/>
      <x:c r="H18" s="82" t="n"/>
      <x:c r="I18" s="83" t="n"/>
      <x:c r="J18" s="84" t="n"/>
      <x:c r="K18" s="84" t="n"/>
      <x:c r="L18" s="85">
        <x:f>IF(OR(J18="",K18=""),"",J18*K18)</x:f>
      </x:c>
      <x:c r="M18" s="86">
        <x:f>IF(L18="","",L18*$C$4)</x:f>
      </x:c>
    </x:row>
    <x:row r="19">
      <x:c r="A19" s="81" t="n"/>
      <x:c r="B19" s="82" t="n"/>
      <x:c r="C19" s="82" t="n"/>
      <x:c r="D19" s="82" t="n"/>
      <x:c r="E19" s="82" t="n"/>
      <x:c r="F19" s="83" t="n"/>
      <x:c r="G19" s="83" t="n"/>
      <x:c r="H19" s="82" t="n"/>
      <x:c r="I19" s="83" t="n"/>
      <x:c r="J19" s="84" t="n"/>
      <x:c r="K19" s="84" t="n"/>
      <x:c r="L19" s="85">
        <x:f>IF(OR(J19="",K19=""),"",J19*K19)</x:f>
      </x:c>
      <x:c r="M19" s="86">
        <x:f>IF(L19="","",L19*$C$4)</x:f>
      </x:c>
    </x:row>
    <x:row r="20">
      <x:c r="A20" s="81" t="n"/>
      <x:c r="B20" s="82" t="n"/>
      <x:c r="C20" s="82" t="n"/>
      <x:c r="D20" s="82" t="n"/>
      <x:c r="E20" s="82" t="n"/>
      <x:c r="F20" s="83" t="n"/>
      <x:c r="G20" s="83" t="n"/>
      <x:c r="H20" s="82" t="n"/>
      <x:c r="I20" s="83" t="n"/>
      <x:c r="J20" s="84" t="n"/>
      <x:c r="K20" s="84" t="n"/>
      <x:c r="L20" s="85">
        <x:f>IF(OR(J20="",K20=""),"",J20*K20)</x:f>
      </x:c>
      <x:c r="M20" s="86">
        <x:f>IF(L20="","",L20*$C$4)</x:f>
      </x:c>
    </x:row>
    <x:row r="21">
      <x:c r="A21" s="81" t="n"/>
      <x:c r="B21" s="82" t="n"/>
      <x:c r="C21" s="82" t="n"/>
      <x:c r="D21" s="82" t="n"/>
      <x:c r="E21" s="82" t="n"/>
      <x:c r="F21" s="83" t="n"/>
      <x:c r="G21" s="83" t="n"/>
      <x:c r="H21" s="82" t="n"/>
      <x:c r="I21" s="83" t="n"/>
      <x:c r="J21" s="84" t="n"/>
      <x:c r="K21" s="84" t="n"/>
      <x:c r="L21" s="85">
        <x:f>IF(OR(J21="",K21=""),"",J21*K21)</x:f>
      </x:c>
      <x:c r="M21" s="86">
        <x:f>IF(L21="","",L21*$C$4)</x:f>
      </x:c>
    </x:row>
    <x:row r="22">
      <x:c r="A22" s="81" t="n"/>
      <x:c r="B22" s="82" t="n"/>
      <x:c r="C22" s="82" t="n"/>
      <x:c r="D22" s="82" t="n"/>
      <x:c r="E22" s="82" t="n"/>
      <x:c r="F22" s="83" t="n"/>
      <x:c r="G22" s="83" t="n"/>
      <x:c r="H22" s="82" t="n"/>
      <x:c r="I22" s="83" t="n"/>
      <x:c r="J22" s="84" t="n"/>
      <x:c r="K22" s="84" t="n"/>
      <x:c r="L22" s="85">
        <x:f>IF(OR(J22="",K22=""),"",J22*K22)</x:f>
      </x:c>
      <x:c r="M22" s="86">
        <x:f>IF(L22="","",L22*$C$4)</x:f>
      </x:c>
    </x:row>
    <x:row r="23">
      <x:c r="A23" s="81" t="n"/>
      <x:c r="B23" s="82" t="n"/>
      <x:c r="C23" s="82" t="n"/>
      <x:c r="D23" s="82" t="n"/>
      <x:c r="E23" s="82" t="n"/>
      <x:c r="F23" s="83" t="n"/>
      <x:c r="G23" s="83" t="n"/>
      <x:c r="H23" s="82" t="n"/>
      <x:c r="I23" s="83" t="n"/>
      <x:c r="J23" s="84" t="n"/>
      <x:c r="K23" s="84" t="n"/>
      <x:c r="L23" s="85">
        <x:f>IF(OR(J23="",K23=""),"",J23*K23)</x:f>
      </x:c>
      <x:c r="M23" s="86">
        <x:f>IF(L23="","",L23*$C$4)</x:f>
      </x:c>
    </x:row>
    <x:row r="24">
      <x:c r="A24" s="81" t="n"/>
      <x:c r="B24" s="82" t="n"/>
      <x:c r="C24" s="82" t="n"/>
      <x:c r="D24" s="82" t="n"/>
      <x:c r="E24" s="82" t="n"/>
      <x:c r="F24" s="83" t="n"/>
      <x:c r="G24" s="83" t="n"/>
      <x:c r="H24" s="82" t="n"/>
      <x:c r="I24" s="83" t="n"/>
      <x:c r="J24" s="84" t="n"/>
      <x:c r="K24" s="84" t="n"/>
      <x:c r="L24" s="85">
        <x:f>IF(OR(J24="",K24=""),"",J24*K24)</x:f>
      </x:c>
      <x:c r="M24" s="86">
        <x:f>IF(L24="","",L24*$C$4)</x:f>
      </x:c>
    </x:row>
    <x:row r="25">
      <x:c r="A25" s="81" t="n"/>
      <x:c r="B25" s="82" t="n"/>
      <x:c r="C25" s="82" t="n"/>
      <x:c r="D25" s="82" t="n"/>
      <x:c r="E25" s="82" t="n"/>
      <x:c r="F25" s="83" t="n"/>
      <x:c r="G25" s="83" t="n"/>
      <x:c r="H25" s="82" t="n"/>
      <x:c r="I25" s="83" t="n"/>
      <x:c r="J25" s="84" t="n"/>
      <x:c r="K25" s="84" t="n"/>
      <x:c r="L25" s="85">
        <x:f>IF(OR(J25="",K25=""),"",J25*K25)</x:f>
      </x:c>
      <x:c r="M25" s="86">
        <x:f>IF(L25="","",L25*$C$4)</x:f>
      </x:c>
    </x:row>
    <x:row r="26">
      <x:c r="A26" s="81" t="n"/>
      <x:c r="B26" s="82" t="n"/>
      <x:c r="C26" s="82" t="n"/>
      <x:c r="D26" s="82" t="n"/>
      <x:c r="E26" s="82" t="n"/>
      <x:c r="F26" s="83" t="n"/>
      <x:c r="G26" s="83" t="n"/>
      <x:c r="H26" s="82" t="n"/>
      <x:c r="I26" s="83" t="n"/>
      <x:c r="J26" s="84" t="n"/>
      <x:c r="K26" s="84" t="n"/>
      <x:c r="L26" s="85">
        <x:f>IF(OR(J26="",K26=""),"",J26*K26)</x:f>
      </x:c>
      <x:c r="M26" s="86">
        <x:f>IF(L26="","",L26*$C$4)</x:f>
      </x:c>
    </x:row>
    <x:row r="27">
      <x:c r="A27" s="81" t="n"/>
      <x:c r="B27" s="82" t="n"/>
      <x:c r="C27" s="82" t="n"/>
      <x:c r="D27" s="82" t="n"/>
      <x:c r="E27" s="82" t="n"/>
      <x:c r="F27" s="83" t="n"/>
      <x:c r="G27" s="83" t="n"/>
      <x:c r="H27" s="82" t="n"/>
      <x:c r="I27" s="83" t="n"/>
      <x:c r="J27" s="84" t="n"/>
      <x:c r="K27" s="84" t="n"/>
      <x:c r="L27" s="85">
        <x:f>IF(OR(J27="",K27=""),"",J27*K27)</x:f>
      </x:c>
      <x:c r="M27" s="86">
        <x:f>IF(L27="","",L27*$C$4)</x:f>
      </x:c>
    </x:row>
    <x:row r="30" s="38" customFormat="1" ht="24" customHeight="1">
      <x:c r="A30" s="78" t="inlineStr">
        <x:is>
          <x:t xml:space="preserve">使い方（最小運用）</x:t>
        </x:is>
      </x:c>
      <x:c r="B30" s="55" t="n"/>
      <x:c r="C30" s="55" t="n"/>
      <x:c r="D30" s="55" t="n"/>
      <x:c r="E30" s="55" t="n"/>
      <x:c r="F30" s="55" t="n"/>
      <x:c r="G30" s="55" t="n"/>
      <x:c r="H30" s="55" t="n"/>
      <x:c r="I30" s="55" t="n"/>
      <x:c r="J30" s="55" t="n"/>
      <x:c r="K30" s="55" t="n"/>
      <x:c r="L30" s="55" t="n"/>
      <x:c r="M30" s="56" t="n"/>
    </x:row>
    <x:row r="31">
      <x:c r="A31" s="83" t="n">
        <x:v>1</x:v>
      </x:c>
      <x:c r="B31" s="77" t="inlineStr">
        <x:is>
          <x:t xml:space="preserve">1. HTMLで図面を拾い、エッジ生データCSVまたは全集計CSVを出力する。</x:t>
        </x:is>
      </x:c>
    </x:row>
    <x:row r="32">
      <x:c r="A32" s="83" t="n">
        <x:v>2</x:v>
      </x:c>
      <x:c r="B32" s="77" t="inlineStr">
        <x:is>
          <x:t xml:space="preserve">2. Excel側では「系統・管種・口径・方向・施工場所」をこのシートの表記と揃える。</x:t>
        </x:is>
      </x:c>
    </x:row>
    <x:row r="33">
      <x:c r="A33" s="83" t="n">
        <x:v>3</x:v>
      </x:c>
      <x:c r="B33" s="77" t="inlineStr">
        <x:is>
          <x:t xml:space="preserve">3. まずは歩掛マスタだけ整備し、材料単価や工程表は次段階で十分。</x:t>
        </x:is>
      </x:c>
    </x:row>
    <x:row r="34">
      <x:c r="A34" s="83" t="n">
        <x:v>4</x:v>
      </x:c>
      <x:c r="B34" s="77" t="inlineStr">
        <x:is>
          <x:t xml:space="preserve">4. 仮値例は説明用。実運用前に自社の実績値へ置き換える。</x:t>
        </x:is>
      </x:c>
    </x:row>
  </x:sheetData>
  <x:mergeCells>
    <x:mergeCell ref="B34:M34"/>
    <x:mergeCell ref="B33:M33"/>
    <x:mergeCell ref="A1:M1"/>
    <x:mergeCell ref="B31:M31"/>
    <x:mergeCell ref="B32:M32"/>
    <x:mergeCell ref="A30:M30"/>
    <x:mergeCell ref="A2:M2"/>
  </x:mergeCells>
  <x:pageMargins left="0.7" right="0.7" top="0.75" bottom="0.75" header="0.3" footer="0.3"/>
</x:worksheet>
</file>